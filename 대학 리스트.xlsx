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mer\Downloads\"/>
    </mc:Choice>
  </mc:AlternateContent>
  <xr:revisionPtr revIDLastSave="0" documentId="13_ncr:1_{0E705F4E-4680-4215-9CC6-2B4F961F60CF}" xr6:coauthVersionLast="47" xr6:coauthVersionMax="47" xr10:uidLastSave="{00000000-0000-0000-0000-000000000000}"/>
  <bookViews>
    <workbookView xWindow="-110" yWindow="-110" windowWidth="38620" windowHeight="21100" xr2:uid="{D462A2C5-489E-4075-8EFD-655F3B4142E9}"/>
  </bookViews>
  <sheets>
    <sheet name="Sheet1" sheetId="1" r:id="rId1"/>
  </sheets>
  <definedNames>
    <definedName name="_xlnm._FilterDatabase" localSheetId="0" hidden="1">Sheet1!$B$1:$G$34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1" l="1"/>
  <c r="M7" i="1"/>
  <c r="M4" i="1"/>
  <c r="M17" i="1"/>
  <c r="M8" i="1"/>
  <c r="M6" i="1"/>
  <c r="M5" i="1"/>
  <c r="M13" i="1"/>
  <c r="M11" i="1"/>
  <c r="M12" i="1"/>
  <c r="M19" i="1"/>
  <c r="M22" i="1"/>
  <c r="M26" i="1"/>
  <c r="M16" i="1"/>
  <c r="M9" i="1"/>
  <c r="M28" i="1"/>
  <c r="M20" i="1"/>
  <c r="M27" i="1"/>
  <c r="M15" i="1"/>
  <c r="M29" i="1"/>
  <c r="M23" i="1"/>
  <c r="M18" i="1"/>
  <c r="M14" i="1"/>
  <c r="M21" i="1"/>
  <c r="M25" i="1"/>
  <c r="M10" i="1"/>
  <c r="M30" i="1"/>
  <c r="M24" i="1"/>
  <c r="M31" i="1"/>
  <c r="M32" i="1"/>
  <c r="M33" i="1"/>
  <c r="M34" i="1"/>
  <c r="M2" i="1"/>
  <c r="N3" i="1" a="1"/>
  <c r="N3" i="1" s="1"/>
  <c r="N7" i="1" a="1"/>
  <c r="N7" i="1" s="1"/>
  <c r="N4" i="1" a="1"/>
  <c r="N4" i="1" s="1"/>
  <c r="N17" i="1" a="1"/>
  <c r="N17" i="1" s="1"/>
  <c r="N8" i="1" a="1"/>
  <c r="N8" i="1" s="1"/>
  <c r="N6" i="1" a="1"/>
  <c r="N6" i="1" s="1"/>
  <c r="N5" i="1" a="1"/>
  <c r="N5" i="1" s="1"/>
  <c r="N13" i="1" a="1"/>
  <c r="N13" i="1" s="1"/>
  <c r="N11" i="1" a="1"/>
  <c r="N11" i="1" s="1"/>
  <c r="N12" i="1" a="1"/>
  <c r="N12" i="1" s="1"/>
  <c r="N19" i="1" a="1"/>
  <c r="N19" i="1" s="1"/>
  <c r="N22" i="1" a="1"/>
  <c r="N22" i="1" s="1"/>
  <c r="N26" i="1" a="1"/>
  <c r="N26" i="1" s="1"/>
  <c r="N16" i="1" a="1"/>
  <c r="N16" i="1" s="1"/>
  <c r="N9" i="1" a="1"/>
  <c r="N9" i="1" s="1"/>
  <c r="N28" i="1" a="1"/>
  <c r="N28" i="1" s="1"/>
  <c r="N20" i="1" a="1"/>
  <c r="N20" i="1" s="1"/>
  <c r="N27" i="1" a="1"/>
  <c r="N27" i="1" s="1"/>
  <c r="N15" i="1" a="1"/>
  <c r="N15" i="1" s="1"/>
  <c r="N29" i="1" a="1"/>
  <c r="N29" i="1" s="1"/>
  <c r="N23" i="1" a="1"/>
  <c r="N23" i="1" s="1"/>
  <c r="N18" i="1" a="1"/>
  <c r="N18" i="1" s="1"/>
  <c r="N14" i="1" a="1"/>
  <c r="N14" i="1" s="1"/>
  <c r="N21" i="1" a="1"/>
  <c r="N21" i="1" s="1"/>
  <c r="N25" i="1" a="1"/>
  <c r="N25" i="1" s="1"/>
  <c r="N10" i="1" a="1"/>
  <c r="N10" i="1" s="1"/>
  <c r="N30" i="1" a="1"/>
  <c r="N30" i="1" s="1"/>
  <c r="N24" i="1" a="1"/>
  <c r="N24" i="1" s="1"/>
  <c r="N31" i="1" a="1"/>
  <c r="N31" i="1" s="1"/>
  <c r="N32" i="1" a="1"/>
  <c r="N32" i="1" s="1"/>
  <c r="N33" i="1" a="1"/>
  <c r="N33" i="1" s="1"/>
  <c r="N34" i="1" a="1"/>
  <c r="N34" i="1" s="1"/>
  <c r="O3" i="1" a="1"/>
  <c r="O3" i="1" s="1"/>
  <c r="O7" i="1" a="1"/>
  <c r="O7" i="1" s="1"/>
  <c r="O4" i="1" a="1"/>
  <c r="O4" i="1" s="1"/>
  <c r="O17" i="1" a="1"/>
  <c r="O17" i="1" s="1"/>
  <c r="O8" i="1" a="1"/>
  <c r="O8" i="1" s="1"/>
  <c r="O6" i="1" a="1"/>
  <c r="O6" i="1" s="1"/>
  <c r="O5" i="1" a="1"/>
  <c r="O5" i="1" s="1"/>
  <c r="O13" i="1" a="1"/>
  <c r="O13" i="1" s="1"/>
  <c r="O11" i="1" a="1"/>
  <c r="O11" i="1" s="1"/>
  <c r="O12" i="1" a="1"/>
  <c r="O12" i="1" s="1"/>
  <c r="O19" i="1" a="1"/>
  <c r="O19" i="1" s="1"/>
  <c r="O22" i="1" a="1"/>
  <c r="O22" i="1" s="1"/>
  <c r="O26" i="1" a="1"/>
  <c r="O26" i="1" s="1"/>
  <c r="O16" i="1" a="1"/>
  <c r="O16" i="1" s="1"/>
  <c r="O9" i="1" a="1"/>
  <c r="O9" i="1" s="1"/>
  <c r="O28" i="1" a="1"/>
  <c r="O28" i="1" s="1"/>
  <c r="O20" i="1" a="1"/>
  <c r="O20" i="1" s="1"/>
  <c r="O27" i="1" a="1"/>
  <c r="O27" i="1" s="1"/>
  <c r="O15" i="1" a="1"/>
  <c r="O15" i="1" s="1"/>
  <c r="O29" i="1" a="1"/>
  <c r="O29" i="1" s="1"/>
  <c r="O23" i="1" a="1"/>
  <c r="O23" i="1" s="1"/>
  <c r="O18" i="1" a="1"/>
  <c r="O18" i="1" s="1"/>
  <c r="O14" i="1" a="1"/>
  <c r="O14" i="1" s="1"/>
  <c r="O21" i="1" a="1"/>
  <c r="O21" i="1" s="1"/>
  <c r="O25" i="1" a="1"/>
  <c r="O25" i="1" s="1"/>
  <c r="O10" i="1" a="1"/>
  <c r="O10" i="1" s="1"/>
  <c r="O30" i="1" a="1"/>
  <c r="O30" i="1" s="1"/>
  <c r="O24" i="1" a="1"/>
  <c r="O24" i="1" s="1"/>
  <c r="O31" i="1" a="1"/>
  <c r="O31" i="1" s="1"/>
  <c r="O32" i="1" a="1"/>
  <c r="O32" i="1" s="1"/>
  <c r="O33" i="1" a="1"/>
  <c r="O33" i="1" s="1"/>
  <c r="O34" i="1" a="1"/>
  <c r="O34" i="1" s="1"/>
  <c r="L3" i="1"/>
  <c r="L7" i="1"/>
  <c r="L4" i="1"/>
  <c r="L17" i="1"/>
  <c r="L8" i="1"/>
  <c r="L6" i="1"/>
  <c r="L5" i="1"/>
  <c r="L13" i="1"/>
  <c r="L11" i="1"/>
  <c r="L12" i="1"/>
  <c r="L19" i="1"/>
  <c r="L22" i="1"/>
  <c r="L26" i="1"/>
  <c r="L16" i="1"/>
  <c r="L9" i="1"/>
  <c r="L28" i="1"/>
  <c r="L20" i="1"/>
  <c r="L27" i="1"/>
  <c r="L15" i="1"/>
  <c r="L29" i="1"/>
  <c r="L23" i="1"/>
  <c r="L18" i="1"/>
  <c r="L14" i="1"/>
  <c r="L21" i="1"/>
  <c r="L25" i="1"/>
  <c r="L10" i="1"/>
  <c r="L30" i="1"/>
  <c r="L24" i="1"/>
  <c r="L31" i="1"/>
  <c r="L32" i="1"/>
  <c r="L33" i="1"/>
  <c r="L34" i="1"/>
  <c r="O2" i="1" a="1"/>
  <c r="O2" i="1" s="1"/>
  <c r="N2" i="1" a="1"/>
  <c r="N2" i="1" s="1"/>
  <c r="L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<sst xmlns="http://schemas.openxmlformats.org/spreadsheetml/2006/main" count="185" uniqueCount="123">
  <si>
    <t>대학명 (유형)</t>
  </si>
  <si>
    <t>QS</t>
  </si>
  <si>
    <t>THE</t>
  </si>
  <si>
    <t>USN</t>
  </si>
  <si>
    <t>ARWU</t>
  </si>
  <si>
    <t>USN 제외 avg</t>
  </si>
  <si>
    <t>USN 포함 avg</t>
  </si>
  <si>
    <t>장학금 적용 예상 학비</t>
  </si>
  <si>
    <t>데드라인 / 포털 / 추가지원 여부</t>
  </si>
  <si>
    <t>편입 합격률</t>
  </si>
  <si>
    <t>지원 권역 (질문자 기준)</t>
  </si>
  <si>
    <t>[대조군] 서울대 (국립)</t>
  </si>
  <si>
    <t>-</t>
  </si>
  <si>
    <t>[대조군] 카이스트 (국립)</t>
  </si>
  <si>
    <t>MIT (사립)</t>
  </si>
  <si>
    <t>~$60,000</t>
  </si>
  <si>
    <t>마감(3/15) / 자체 포털 / Late App</t>
  </si>
  <si>
    <t>우주상향</t>
  </si>
  <si>
    <t>하버드 (사립)</t>
  </si>
  <si>
    <t>~$58,000</t>
  </si>
  <si>
    <t>마감(3/1) / 커먼앱 / Late App</t>
  </si>
  <si>
    <t>UC 버클리 (주립)</t>
  </si>
  <si>
    <t>~$48,000</t>
  </si>
  <si>
    <r>
      <t>마감(11/30) / UC 포털 / </t>
    </r>
    <r>
      <rPr>
        <b/>
        <sz val="11"/>
        <color rgb="FF2B2D31"/>
        <rFont val="Arial"/>
        <family val="2"/>
      </rPr>
      <t>지원불가</t>
    </r>
  </si>
  <si>
    <t>22% (CCC위주)</t>
  </si>
  <si>
    <r>
      <t>우주상향</t>
    </r>
    <r>
      <rPr>
        <sz val="11"/>
        <color rgb="FF2B2D31"/>
        <rFont val="Arial"/>
        <family val="2"/>
      </rPr>
      <t> (CS 극악)</t>
    </r>
  </si>
  <si>
    <t>칼텍 (사립)</t>
  </si>
  <si>
    <t>~$63,000</t>
  </si>
  <si>
    <t>마감(2/15) / 커먼앱 / Late App</t>
  </si>
  <si>
    <t>1~2%</t>
  </si>
  <si>
    <t>예일 (사립)</t>
  </si>
  <si>
    <t>~$64,000</t>
  </si>
  <si>
    <t>프린스턴 (사립)</t>
  </si>
  <si>
    <t>~$65,000</t>
  </si>
  <si>
    <t>롤링 접수 / 커먼앱 / 지원가능</t>
  </si>
  <si>
    <t>5~8%</t>
  </si>
  <si>
    <r>
      <t>도전권</t>
    </r>
    <r>
      <rPr>
        <sz val="11"/>
        <color rgb="FF2B2D31"/>
        <rFont val="Arial"/>
        <family val="2"/>
      </rPr>
      <t> (서사 특화)</t>
    </r>
  </si>
  <si>
    <t>존스 홉킨스 (사립)</t>
  </si>
  <si>
    <t>~$62,000</t>
  </si>
  <si>
    <t>컬럼비아 (사립)</t>
  </si>
  <si>
    <t>~$68,000</t>
  </si>
  <si>
    <t>UCLA (주립)</t>
  </si>
  <si>
    <t>~$47,000</t>
  </si>
  <si>
    <t>24% (CCC위주)</t>
  </si>
  <si>
    <t>미시간대 (주립)</t>
  </si>
  <si>
    <t>~$57,000</t>
  </si>
  <si>
    <t>35% (CS는 낮음)</t>
  </si>
  <si>
    <t>도전권</t>
  </si>
  <si>
    <t>~$41,000</t>
  </si>
  <si>
    <t>마감(2/15) / 자체 포털 / Late App</t>
  </si>
  <si>
    <t>45% (CS는 극악)</t>
  </si>
  <si>
    <t>마감(3/15) / 커먼앱 / Late App</t>
  </si>
  <si>
    <t>듀크 (사립)</t>
  </si>
  <si>
    <t>2~3%</t>
  </si>
  <si>
    <t>UC 샌디에이고 (주립)</t>
  </si>
  <si>
    <t>50% (CCC위주)</t>
  </si>
  <si>
    <t>마감(3/1) / ApplyTexas / Late App</t>
  </si>
  <si>
    <t>25% (CS는 극악)</t>
  </si>
  <si>
    <t>UIUC (주립)</t>
  </si>
  <si>
    <t>4/5 마감 / 자체 포털 / 지원가능</t>
  </si>
  <si>
    <t>45% (CS+X 기준)</t>
  </si>
  <si>
    <r>
      <t>소신권</t>
    </r>
    <r>
      <rPr>
        <sz val="11"/>
        <color rgb="FF2B2D31"/>
        <rFont val="Arial"/>
        <family val="2"/>
      </rPr>
      <t> (최우선)</t>
    </r>
  </si>
  <si>
    <t>~$40,000</t>
  </si>
  <si>
    <t>마감(3/1) / 자체 포털 / Late App</t>
  </si>
  <si>
    <t>소신권</t>
  </si>
  <si>
    <t>~$39,000</t>
  </si>
  <si>
    <t>~$66,000</t>
  </si>
  <si>
    <t>카네기 멜런(CMU) (사립)</t>
  </si>
  <si>
    <t>7% (CS는 1%)</t>
  </si>
  <si>
    <t>조지아 텍 (주립)</t>
  </si>
  <si>
    <t>~$33,000</t>
  </si>
  <si>
    <t>30% (CS는 낮음)</t>
  </si>
  <si>
    <t>보스턴대(BU) (사립)</t>
  </si>
  <si>
    <t>4/15 마감 / 커먼앱 / 지원가능</t>
  </si>
  <si>
    <t>브라운 (사립)</t>
  </si>
  <si>
    <t>펜실베이니아 주립대</t>
  </si>
  <si>
    <t>롤링 접수 / 자체 포털 / 지원가능</t>
  </si>
  <si>
    <t>50%+</t>
  </si>
  <si>
    <t>적정~안정권</t>
  </si>
  <si>
    <t>퍼듀 (주립)</t>
  </si>
  <si>
    <t>~$29,000</t>
  </si>
  <si>
    <r>
      <t>6/1 마감 / 커먼앱 / </t>
    </r>
    <r>
      <rPr>
        <b/>
        <sz val="11"/>
        <color rgb="FF2B2D31"/>
        <rFont val="Arial"/>
        <family val="2"/>
      </rPr>
      <t>CS 지원불가</t>
    </r>
  </si>
  <si>
    <t>지원불가</t>
  </si>
  <si>
    <t>메릴랜드대(UMD) (주립)</t>
  </si>
  <si>
    <t>6/1 마감 / 자체 포털 / 지원가능</t>
  </si>
  <si>
    <t>소신~적정권</t>
  </si>
  <si>
    <t>오하이오 주립대(OSU)</t>
  </si>
  <si>
    <t>5/15 마감 / 커먼앱 / 지원가능</t>
  </si>
  <si>
    <t>60%+</t>
  </si>
  <si>
    <t>적정권</t>
  </si>
  <si>
    <t>럿거스 (주립)</t>
  </si>
  <si>
    <t>~$36,000</t>
  </si>
  <si>
    <t>UMass Amherst (주립)</t>
  </si>
  <si>
    <r>
      <rPr>
        <b/>
        <sz val="11"/>
        <color rgb="FF2B2D31"/>
        <rFont val="맑은 고딕"/>
        <family val="3"/>
        <charset val="129"/>
      </rPr>
      <t>적정</t>
    </r>
    <r>
      <rPr>
        <b/>
        <sz val="11"/>
        <color rgb="FF2B2D31"/>
        <rFont val="Arial"/>
        <family val="2"/>
      </rPr>
      <t>~</t>
    </r>
    <r>
      <rPr>
        <b/>
        <sz val="11"/>
        <color rgb="FF2B2D31"/>
        <rFont val="맑은 고딕"/>
        <family val="3"/>
        <charset val="129"/>
      </rPr>
      <t>안정권</t>
    </r>
    <phoneticPr fontId="3" type="noConversion"/>
  </si>
  <si>
    <t>~$60,000</t>
    <phoneticPr fontId="3" type="noConversion"/>
  </si>
  <si>
    <r>
      <rPr>
        <sz val="11"/>
        <color rgb="FF2B2D31"/>
        <rFont val="맑은 고딕"/>
        <family val="3"/>
        <charset val="129"/>
      </rPr>
      <t>마감</t>
    </r>
    <r>
      <rPr>
        <sz val="11"/>
        <color rgb="FF2B2D31"/>
        <rFont val="Arial"/>
        <family val="2"/>
      </rPr>
      <t xml:space="preserve">(2/1) / </t>
    </r>
    <r>
      <rPr>
        <sz val="11"/>
        <color rgb="FF2B2D31"/>
        <rFont val="맑은 고딕"/>
        <family val="3"/>
        <charset val="129"/>
      </rPr>
      <t>커먼앱</t>
    </r>
    <r>
      <rPr>
        <sz val="11"/>
        <color rgb="FF2B2D31"/>
        <rFont val="Arial"/>
        <family val="2"/>
      </rPr>
      <t xml:space="preserve"> / Late App</t>
    </r>
    <phoneticPr fontId="3" type="noConversion"/>
  </si>
  <si>
    <t>학비 정렬</t>
    <phoneticPr fontId="3" type="noConversion"/>
  </si>
  <si>
    <t>데드라인 정렬</t>
    <phoneticPr fontId="3" type="noConversion"/>
  </si>
  <si>
    <t>합격률 정렬</t>
    <phoneticPr fontId="3" type="noConversion"/>
  </si>
  <si>
    <t>지원 권역 정렬</t>
    <phoneticPr fontId="3" type="noConversion"/>
  </si>
  <si>
    <r>
      <rPr>
        <b/>
        <sz val="11"/>
        <color rgb="FF2B2D31"/>
        <rFont val="맑은 고딕"/>
        <family val="3"/>
        <charset val="129"/>
      </rPr>
      <t>시카고대</t>
    </r>
    <r>
      <rPr>
        <b/>
        <sz val="11"/>
        <color rgb="FF2B2D31"/>
        <rFont val="Arial"/>
        <family val="2"/>
      </rPr>
      <t xml:space="preserve"> (</t>
    </r>
    <r>
      <rPr>
        <b/>
        <sz val="11"/>
        <color rgb="FF2B2D31"/>
        <rFont val="맑은 고딕"/>
        <family val="3"/>
        <charset val="129"/>
      </rPr>
      <t>사립</t>
    </r>
    <r>
      <rPr>
        <b/>
        <sz val="11"/>
        <color rgb="FF2B2D31"/>
        <rFont val="Arial"/>
        <family val="2"/>
      </rPr>
      <t>)</t>
    </r>
    <phoneticPr fontId="3" type="noConversion"/>
  </si>
  <si>
    <t>Transfer Rolling Decision
Application Due Date: March 2*
Admission Decision Release: Decisions released on a rolling basis starting in early May</t>
    <phoneticPr fontId="3" type="noConversion"/>
  </si>
  <si>
    <t>열1</t>
  </si>
  <si>
    <t>열2</t>
  </si>
  <si>
    <r>
      <rPr>
        <b/>
        <sz val="11"/>
        <color rgb="FF2B2D31"/>
        <rFont val="맑은 고딕"/>
        <family val="3"/>
        <charset val="129"/>
      </rPr>
      <t>워싱턴대</t>
    </r>
    <r>
      <rPr>
        <b/>
        <sz val="11"/>
        <color rgb="FF2B2D31"/>
        <rFont val="Arial"/>
        <family val="2"/>
      </rPr>
      <t>(UW) (</t>
    </r>
    <r>
      <rPr>
        <b/>
        <sz val="11"/>
        <color rgb="FF2B2D31"/>
        <rFont val="맑은 고딕"/>
        <family val="3"/>
        <charset val="129"/>
      </rPr>
      <t>주립</t>
    </r>
    <r>
      <rPr>
        <b/>
        <sz val="11"/>
        <color rgb="FF2B2D31"/>
        <rFont val="Arial"/>
        <family val="2"/>
      </rPr>
      <t>)</t>
    </r>
    <phoneticPr fontId="3" type="noConversion"/>
  </si>
  <si>
    <t xml:space="preserve">마감, 지원통로 보이지 않음 </t>
    <phoneticPr fontId="3" type="noConversion"/>
  </si>
  <si>
    <t>마감</t>
    <phoneticPr fontId="3" type="noConversion"/>
  </si>
  <si>
    <r>
      <rPr>
        <b/>
        <sz val="11"/>
        <color rgb="FF2B2D31"/>
        <rFont val="맑은 고딕"/>
        <family val="3"/>
        <charset val="129"/>
      </rPr>
      <t>워싱턴대</t>
    </r>
    <r>
      <rPr>
        <b/>
        <sz val="11"/>
        <color rgb="FF2B2D31"/>
        <rFont val="Arial"/>
        <family val="2"/>
      </rPr>
      <t xml:space="preserve"> </t>
    </r>
    <r>
      <rPr>
        <b/>
        <sz val="11"/>
        <color rgb="FF2B2D31"/>
        <rFont val="맑은 고딕"/>
        <family val="3"/>
        <charset val="129"/>
      </rPr>
      <t>세인트루이스</t>
    </r>
    <phoneticPr fontId="3" type="noConversion"/>
  </si>
  <si>
    <r>
      <rPr>
        <b/>
        <sz val="11"/>
        <color rgb="FF2B2D31"/>
        <rFont val="맑은 고딕"/>
        <family val="3"/>
        <charset val="129"/>
      </rPr>
      <t>노스웨스턴</t>
    </r>
    <r>
      <rPr>
        <b/>
        <sz val="11"/>
        <color rgb="FF2B2D31"/>
        <rFont val="Arial"/>
        <family val="2"/>
      </rPr>
      <t xml:space="preserve"> (</t>
    </r>
    <r>
      <rPr>
        <b/>
        <sz val="11"/>
        <color rgb="FF2B2D31"/>
        <rFont val="맑은 고딕"/>
        <family val="3"/>
        <charset val="129"/>
      </rPr>
      <t>사립</t>
    </r>
    <r>
      <rPr>
        <b/>
        <sz val="11"/>
        <color rgb="FF2B2D31"/>
        <rFont val="Arial"/>
        <family val="2"/>
      </rPr>
      <t>)</t>
    </r>
    <phoneticPr fontId="3" type="noConversion"/>
  </si>
  <si>
    <t>regular admission 4/1 마감(서류포함)</t>
    <phoneticPr fontId="3" type="noConversion"/>
  </si>
  <si>
    <r>
      <t>USC (</t>
    </r>
    <r>
      <rPr>
        <b/>
        <sz val="11"/>
        <color rgb="FF2B2D31"/>
        <rFont val="맑은 고딕"/>
        <family val="3"/>
        <charset val="129"/>
      </rPr>
      <t>사립</t>
    </r>
    <r>
      <rPr>
        <b/>
        <sz val="11"/>
        <color rgb="FF2B2D31"/>
        <rFont val="Arial"/>
        <family val="2"/>
      </rPr>
      <t>)</t>
    </r>
    <phoneticPr fontId="3" type="noConversion"/>
  </si>
  <si>
    <r>
      <t xml:space="preserve">UT </t>
    </r>
    <r>
      <rPr>
        <b/>
        <sz val="11"/>
        <color rgb="FF2B2D31"/>
        <rFont val="맑은 고딕"/>
        <family val="3"/>
        <charset val="129"/>
      </rPr>
      <t>오스틴</t>
    </r>
    <r>
      <rPr>
        <b/>
        <sz val="11"/>
        <color rgb="FF2B2D31"/>
        <rFont val="Arial"/>
        <family val="2"/>
      </rPr>
      <t xml:space="preserve"> (</t>
    </r>
    <r>
      <rPr>
        <b/>
        <sz val="11"/>
        <color rgb="FF2B2D31"/>
        <rFont val="맑은 고딕"/>
        <family val="3"/>
        <charset val="129"/>
      </rPr>
      <t>주립</t>
    </r>
    <r>
      <rPr>
        <b/>
        <sz val="11"/>
        <color rgb="FF2B2D31"/>
        <rFont val="Arial"/>
        <family val="2"/>
      </rPr>
      <t>)</t>
    </r>
    <phoneticPr fontId="3" type="noConversion"/>
  </si>
  <si>
    <t>불가, 듀오링고 안됨</t>
    <phoneticPr fontId="3" type="noConversion"/>
  </si>
  <si>
    <t>봄학기 기원가능, 9/15마감</t>
    <phoneticPr fontId="3" type="noConversion"/>
  </si>
  <si>
    <t>미적분, 실용영어,과학 수강필수</t>
    <phoneticPr fontId="3" type="noConversion"/>
  </si>
  <si>
    <t>마감, 듀오링고 안됨</t>
    <phoneticPr fontId="3" type="noConversion"/>
  </si>
  <si>
    <r>
      <rPr>
        <b/>
        <sz val="11"/>
        <color rgb="FF2B2D31"/>
        <rFont val="맑은 고딕"/>
        <family val="3"/>
        <charset val="129"/>
      </rPr>
      <t>위스콘신대</t>
    </r>
    <r>
      <rPr>
        <b/>
        <sz val="11"/>
        <color rgb="FF2B2D31"/>
        <rFont val="Arial"/>
        <family val="2"/>
      </rPr>
      <t xml:space="preserve"> (</t>
    </r>
    <r>
      <rPr>
        <b/>
        <sz val="11"/>
        <color rgb="FF2B2D31"/>
        <rFont val="맑은 고딕"/>
        <family val="3"/>
        <charset val="129"/>
      </rPr>
      <t>주립</t>
    </r>
    <r>
      <rPr>
        <b/>
        <sz val="11"/>
        <color rgb="FF2B2D31"/>
        <rFont val="Arial"/>
        <family val="2"/>
      </rPr>
      <t>)</t>
    </r>
    <phoneticPr fontId="3" type="noConversion"/>
  </si>
  <si>
    <t>마감 봄학기 10/1마감</t>
    <phoneticPr fontId="3" type="noConversion"/>
  </si>
  <si>
    <t>마감, 봄학기 11/1마감</t>
    <phoneticPr fontId="3" type="noConversion"/>
  </si>
  <si>
    <r>
      <t xml:space="preserve">UNC </t>
    </r>
    <r>
      <rPr>
        <b/>
        <sz val="11"/>
        <color rgb="FF2B2D31"/>
        <rFont val="맑은 고딕"/>
        <family val="3"/>
        <charset val="129"/>
      </rPr>
      <t>채플힐</t>
    </r>
    <r>
      <rPr>
        <b/>
        <sz val="11"/>
        <color rgb="FF2B2D31"/>
        <rFont val="Arial"/>
        <family val="2"/>
      </rPr>
      <t xml:space="preserve"> (</t>
    </r>
    <r>
      <rPr>
        <b/>
        <sz val="11"/>
        <color rgb="FF2B2D31"/>
        <rFont val="맑은 고딕"/>
        <family val="3"/>
        <charset val="129"/>
      </rPr>
      <t>주립</t>
    </r>
    <r>
      <rPr>
        <b/>
        <sz val="11"/>
        <color rgb="FF2B2D31"/>
        <rFont val="Arial"/>
        <family val="2"/>
      </rPr>
      <t>)</t>
    </r>
    <phoneticPr fontId="3" type="noConversion"/>
  </si>
  <si>
    <t>3/31 공대 마감(CS마감, 비슷한 전공 공대는 일부 가능)</t>
    <phoneticPr fontId="3" type="noConversion"/>
  </si>
  <si>
    <t>지원중</t>
    <phoneticPr fontId="3" type="noConversion"/>
  </si>
  <si>
    <t>실제로 가능한지 확인필요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</si>
</sst>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b/>
      <sz val="11"/>
      <color rgb="FF2B2D31"/>
      <name val="Arial"/>
      <family val="2"/>
    </font>
    <font>
      <sz val="11"/>
      <color rgb="FF2B2D31"/>
      <name val="Arial"/>
      <family val="2"/>
    </font>
    <font>
      <sz val="8"/>
      <name val="맑은 고딕"/>
      <family val="2"/>
      <charset val="129"/>
      <scheme val="minor"/>
    </font>
    <font>
      <b/>
      <sz val="11"/>
      <color rgb="FF2B2D31"/>
      <name val="맑은 고딕"/>
      <family val="3"/>
      <charset val="129"/>
    </font>
    <font>
      <b/>
      <sz val="11"/>
      <color rgb="FF2B2D31"/>
      <name val="Arial"/>
      <family val="3"/>
      <charset val="129"/>
    </font>
    <font>
      <sz val="11"/>
      <color rgb="FF2B2D31"/>
      <name val="맑은 고딕"/>
      <family val="3"/>
      <charset val="129"/>
    </font>
    <font>
      <sz val="11"/>
      <color rgb="FF2B2D31"/>
      <name val="Arial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10" fontId="2" fillId="2" borderId="0" xfId="0" applyNumberFormat="1" applyFont="1" applyFill="1" applyAlignment="1">
      <alignment vertical="center" wrapText="1"/>
    </xf>
    <xf numFmtId="9" fontId="2" fillId="2" borderId="0" xfId="0" applyNumberFormat="1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9" fontId="2" fillId="3" borderId="0" xfId="0" applyNumberFormat="1" applyFont="1" applyFill="1" applyAlignment="1">
      <alignment vertical="center" wrapText="1"/>
    </xf>
    <xf numFmtId="0" fontId="0" fillId="3" borderId="0" xfId="0" applyFill="1">
      <alignment vertical="center"/>
    </xf>
  </cellXfs>
  <cellStyles count="1">
    <cellStyle name="표준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B2D3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B2D3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B2D3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B2D3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B2D3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B2D3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B2D3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B2D3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B2D3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B2D3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B2D3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AD8D70-1A81-41E5-9F34-1C0C4BB8E62D}" name="표2" displayName="표2" ref="A1:Q34" totalsRowShown="0">
  <autoFilter ref="A1:Q34" xr:uid="{93AD8D70-1A81-41E5-9F34-1C0C4BB8E62D}"/>
  <sortState xmlns:xlrd2="http://schemas.microsoft.com/office/spreadsheetml/2017/richdata2" ref="A2:O34">
    <sortCondition ref="N1:N34"/>
  </sortState>
  <tableColumns count="17">
    <tableColumn id="1" xr3:uid="{F9E4B718-55BF-402E-94C5-E7B35138230C}" name="대학명 (유형)" dataDxfId="10"/>
    <tableColumn id="2" xr3:uid="{8C6428DC-855C-4712-8E96-07A6E57601DE}" name="QS" dataDxfId="9"/>
    <tableColumn id="3" xr3:uid="{80DA954E-20F3-4379-B4B6-106A670260B2}" name="THE" dataDxfId="8"/>
    <tableColumn id="4" xr3:uid="{A0C440F7-FDBA-493C-91BF-494941BFF4C3}" name="USN" dataDxfId="7"/>
    <tableColumn id="5" xr3:uid="{76504E6F-06F4-426F-8E1C-7EAB99A31710}" name="ARWU" dataDxfId="6"/>
    <tableColumn id="6" xr3:uid="{2983527D-ED24-4D2D-AC44-C68F378805CD}" name="USN 제외 avg" dataDxfId="5"/>
    <tableColumn id="7" xr3:uid="{53BF3408-42E4-4B17-B86F-499EB800BAFC}" name="USN 포함 avg" dataDxfId="4"/>
    <tableColumn id="8" xr3:uid="{237CF24B-9C7E-40B6-978A-A6C6ABDBA830}" name="장학금 적용 예상 학비" dataDxfId="3"/>
    <tableColumn id="9" xr3:uid="{758A1B7D-D484-4065-9BB5-AFC37E0FCD5F}" name="데드라인 / 포털 / 추가지원 여부" dataDxfId="2"/>
    <tableColumn id="10" xr3:uid="{8B250E45-CED4-46C8-AA32-2D0370BE0B87}" name="편입 합격률" dataDxfId="1"/>
    <tableColumn id="11" xr3:uid="{54B03DB9-0EF1-4797-A0F9-362B93EA863A}" name="지원 권역 (질문자 기준)" dataDxfId="0"/>
    <tableColumn id="12" xr3:uid="{23F852A0-2082-44FE-BEC1-2EF40D704C5D}" name="학비 정렬">
      <calculatedColumnFormula>IFERROR(VALUE(SUBSTITUTE(SUBSTITUTE(SUBSTITUTE(H2, "~", ""), "$", ""), ",", "")), 0)</calculatedColumnFormula>
    </tableColumn>
    <tableColumn id="13" xr3:uid="{8D652387-4AD0-4C2F-A145-473414A75BF1}" name="데드라인 정렬">
      <calculatedColumnFormula>IF(OR(I2="-", I2=""), DATE(2099,12,31), IFERROR(DATEVALUE("2026-" &amp; SUBSTITUTE(SUBSTITUTE(SUBSTITUTE(SUBSTITUTE(SUBSTITUTE(LEFT(I2, FIND("/", I2&amp;"/", FIND("/", I2)+1)-1), "마", ""), "감", ""), "(", ""), ")", ""), " ", "")), DATE(2099,12,31)))</calculatedColumnFormula>
    </tableColumn>
    <tableColumn id="14" xr3:uid="{4C5BCA18-E32D-4FA8-B422-F0FD58F9B628}" name="합격률 정렬">
      <calculatedColumnFormula array="1">IFERROR(IF(ISNUMBER(FIND("~", J2)), (VALUE(LEFT(J2, FIND("~", J2)-1)) + VALUE(SUBSTITUTE(MID(J2, FIND("~", J2)+1, 20), "%", "")))/2, IFERROR(VALUE(LEFT(SUBSTITUTE(J2, " ", ""), _xlfn.AGGREGATE(15, 6, FIND({"%","+","("}, SUBSTITUTE(J2, " ", "")), 1) - 1)), IFERROR(J2*100, 0))), 0)</calculatedColumnFormula>
    </tableColumn>
    <tableColumn id="15" xr3:uid="{E033C5E0-8212-4E4C-A764-24F35F02003C}" name="지원 권역 정렬">
      <calculatedColumnFormula array="1">_xlfn.IFS(
    K2="-", 0,
    ISNUMBER(SEARCH("우주상향", K2)), 1,
    ISNUMBER(SEARCH("도전권", K2)), 2,
    ISNUMBER(SEARCH("소신~적정", K2)), 3,
    ISNUMBER(SEARCH("소신권", K2)), 4,
    ISNUMBER(SEARCH("적정~안정", K2)), 5,
    ISNUMBER(SEARCH("적정권", K2)), 6,
    ISNUMBER(SEARCH("안정권", K2)), 7,
    ISNUMBER(SEARCH("지원불가", K2)), 8,
    TRUE, 99
)</calculatedColumnFormula>
    </tableColumn>
    <tableColumn id="16" xr3:uid="{3A0CD7D4-EFB0-429B-B704-490E788D1C38}" name="열1"/>
    <tableColumn id="17" xr3:uid="{E8CD8E4A-31B0-4165-A754-C212B006A775}" name="열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353E5-0A80-4B16-8DB1-818B75AE36C6}">
  <dimension ref="A1:Q34"/>
  <sheetViews>
    <sheetView tabSelected="1" zoomScale="115" zoomScaleNormal="115" workbookViewId="0">
      <selection activeCell="P32" sqref="P32"/>
    </sheetView>
  </sheetViews>
  <sheetFormatPr defaultRowHeight="17" x14ac:dyDescent="0.45"/>
  <cols>
    <col min="1" max="1" width="13.08203125" customWidth="1"/>
    <col min="6" max="7" width="14" customWidth="1"/>
    <col min="8" max="8" width="20.08203125" customWidth="1"/>
    <col min="9" max="9" width="27.58203125" customWidth="1"/>
    <col min="10" max="10" width="11.83203125" customWidth="1"/>
    <col min="11" max="11" width="21.33203125" customWidth="1"/>
    <col min="12" max="12" width="12.5" customWidth="1"/>
    <col min="13" max="13" width="14.25" customWidth="1"/>
    <col min="14" max="14" width="13.33203125" customWidth="1"/>
    <col min="15" max="15" width="14.6640625" customWidth="1"/>
    <col min="16" max="16" width="24.08203125" customWidth="1"/>
    <col min="17" max="17" width="23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96</v>
      </c>
      <c r="M1" t="s">
        <v>97</v>
      </c>
      <c r="N1" t="s">
        <v>98</v>
      </c>
      <c r="O1" t="s">
        <v>99</v>
      </c>
      <c r="P1" t="s">
        <v>102</v>
      </c>
      <c r="Q1" t="s">
        <v>103</v>
      </c>
    </row>
    <row r="2" spans="1:17" ht="28" x14ac:dyDescent="0.45">
      <c r="A2" s="1" t="s">
        <v>11</v>
      </c>
      <c r="B2" s="2">
        <v>41</v>
      </c>
      <c r="C2" s="2">
        <v>62</v>
      </c>
      <c r="D2" s="2">
        <v>129</v>
      </c>
      <c r="E2" s="2">
        <v>98</v>
      </c>
      <c r="F2" s="1">
        <v>67</v>
      </c>
      <c r="G2" s="1">
        <v>82.5</v>
      </c>
      <c r="H2" s="2" t="s">
        <v>12</v>
      </c>
      <c r="I2" s="2" t="s">
        <v>12</v>
      </c>
      <c r="J2" s="2" t="s">
        <v>12</v>
      </c>
      <c r="K2" s="2" t="s">
        <v>12</v>
      </c>
      <c r="L2">
        <f>IFERROR(VALUE(SUBSTITUTE(SUBSTITUTE(SUBSTITUTE(H2, "~", ""), "$", ""), ",", "")), 0)</f>
        <v>0</v>
      </c>
      <c r="M2">
        <f>IF(OR(I2="-", I2=""), DATE(2099,12,31), IFERROR(DATEVALUE("2026-" &amp; SUBSTITUTE(SUBSTITUTE(SUBSTITUTE(SUBSTITUTE(SUBSTITUTE(LEFT(I2, FIND("/", I2&amp;"/", FIND("/", I2)+1)-1), "마", ""), "감", ""), "(", ""), ")", ""), " ", "")), DATE(2099,12,31)))</f>
        <v>73050</v>
      </c>
      <c r="N2" cm="1">
        <f t="array" ref="N2">IFERROR(IF(ISNUMBER(FIND("~", J2)), (VALUE(LEFT(J2, FIND("~", J2)-1)) + VALUE(SUBSTITUTE(MID(J2, FIND("~", J2)+1, 20), "%", "")))/2, IFERROR(VALUE(LEFT(SUBSTITUTE(J2, " ", ""), _xlfn.AGGREGATE(15, 6, FIND({"%","+","("}, SUBSTITUTE(J2, " ", "")), 1) - 1)), IFERROR(J2*100, 0))), 0)</f>
        <v>0</v>
      </c>
      <c r="O2" cm="1">
        <f t="array" ref="O2">_xlfn.IFS(
    K2="-", 0,
    ISNUMBER(SEARCH("우주상향", K2)), 1,
    ISNUMBER(SEARCH("도전권", K2)), 2,
    ISNUMBER(SEARCH("소신~적정", K2)), 3,
    ISNUMBER(SEARCH("소신권", K2)), 4,
    ISNUMBER(SEARCH("적정~안정", K2)), 5,
    ISNUMBER(SEARCH("적정권", K2)), 6,
    ISNUMBER(SEARCH("안정권", K2)), 7,
    ISNUMBER(SEARCH("지원불가", K2)), 8,
    TRUE, 99
)</f>
        <v>0</v>
      </c>
    </row>
    <row r="3" spans="1:17" ht="28" x14ac:dyDescent="0.45">
      <c r="A3" s="1" t="s">
        <v>13</v>
      </c>
      <c r="B3" s="2">
        <v>53</v>
      </c>
      <c r="C3" s="2">
        <v>83</v>
      </c>
      <c r="D3" s="2">
        <v>282</v>
      </c>
      <c r="E3" s="2">
        <v>250</v>
      </c>
      <c r="F3" s="1">
        <v>128.6</v>
      </c>
      <c r="G3" s="1">
        <v>167</v>
      </c>
      <c r="H3" s="2" t="s">
        <v>12</v>
      </c>
      <c r="I3" s="2" t="s">
        <v>12</v>
      </c>
      <c r="J3" s="2" t="s">
        <v>12</v>
      </c>
      <c r="K3" s="2" t="s">
        <v>12</v>
      </c>
      <c r="L3">
        <f>IFERROR(VALUE(SUBSTITUTE(SUBSTITUTE(SUBSTITUTE(H3, "~", ""), "$", ""), ",", "")), 0)</f>
        <v>0</v>
      </c>
      <c r="M3">
        <f>IF(OR(I3="-", I3=""), DATE(2099,12,31), IFERROR(DATEVALUE("2026-" &amp; SUBSTITUTE(SUBSTITUTE(SUBSTITUTE(SUBSTITUTE(SUBSTITUTE(LEFT(I3, FIND("/", I3&amp;"/", FIND("/", I3)+1)-1), "마", ""), "감", ""), "(", ""), ")", ""), " ", "")), DATE(2099,12,31)))</f>
        <v>73050</v>
      </c>
      <c r="N3" cm="1">
        <f t="array" ref="N3">IFERROR(IF(ISNUMBER(FIND("~", J3)), (VALUE(LEFT(J3, FIND("~", J3)-1)) + VALUE(SUBSTITUTE(MID(J3, FIND("~", J3)+1, 20), "%", "")))/2, IFERROR(VALUE(LEFT(SUBSTITUTE(J3, " ", ""), _xlfn.AGGREGATE(15, 6, FIND({"%","+","("}, SUBSTITUTE(J3, " ", "")), 1) - 1)), IFERROR(J3*100, 0))), 0)</f>
        <v>0</v>
      </c>
      <c r="O3" cm="1">
        <f t="array" ref="O3">_xlfn.IFS(
    K3="-", 0,
    ISNUMBER(SEARCH("우주상향", K3)), 1,
    ISNUMBER(SEARCH("도전권", K3)), 2,
    ISNUMBER(SEARCH("소신~적정", K3)), 3,
    ISNUMBER(SEARCH("소신권", K3)), 4,
    ISNUMBER(SEARCH("적정~안정", K3)), 5,
    ISNUMBER(SEARCH("적정권", K3)), 6,
    ISNUMBER(SEARCH("안정권", K3)), 7,
    ISNUMBER(SEARCH("지원불가", K3)), 8,
    TRUE, 99
)</f>
        <v>0</v>
      </c>
    </row>
    <row r="4" spans="1:17" x14ac:dyDescent="0.45">
      <c r="A4" s="1" t="s">
        <v>18</v>
      </c>
      <c r="B4" s="2">
        <v>5</v>
      </c>
      <c r="C4" s="2">
        <v>5</v>
      </c>
      <c r="D4" s="2">
        <v>1</v>
      </c>
      <c r="E4" s="2">
        <v>1</v>
      </c>
      <c r="F4" s="1">
        <v>3.7</v>
      </c>
      <c r="G4" s="1">
        <v>3</v>
      </c>
      <c r="H4" s="2" t="s">
        <v>19</v>
      </c>
      <c r="I4" s="2" t="s">
        <v>20</v>
      </c>
      <c r="J4" s="3">
        <v>8.0000000000000002E-3</v>
      </c>
      <c r="K4" s="1" t="s">
        <v>17</v>
      </c>
      <c r="L4">
        <f>IFERROR(VALUE(SUBSTITUTE(SUBSTITUTE(SUBSTITUTE(H4, "~", ""), "$", ""), ",", "")), 0)</f>
        <v>58000</v>
      </c>
      <c r="M4">
        <f>IF(OR(I4="-", I4=""), DATE(2099,12,31), IFERROR(DATEVALUE("2026-" &amp; SUBSTITUTE(SUBSTITUTE(SUBSTITUTE(SUBSTITUTE(SUBSTITUTE(LEFT(I4, FIND("/", I4&amp;"/", FIND("/", I4)+1)-1), "마", ""), "감", ""), "(", ""), ")", ""), " ", "")), DATE(2099,12,31)))</f>
        <v>46082</v>
      </c>
      <c r="N4" cm="1">
        <f t="array" ref="N4">IFERROR(IF(ISNUMBER(FIND("~", J4)), (VALUE(LEFT(J4, FIND("~", J4)-1)) + VALUE(SUBSTITUTE(MID(J4, FIND("~", J4)+1, 20), "%", "")))/2, IFERROR(VALUE(LEFT(SUBSTITUTE(J4, " ", ""), _xlfn.AGGREGATE(15, 6, FIND({"%","+","("}, SUBSTITUTE(J4, " ", "")), 1) - 1)), IFERROR(J4*100, 0))), 0)</f>
        <v>0.8</v>
      </c>
      <c r="O4" cm="1">
        <f t="array" ref="O4">_xlfn.IFS(
    K4="-", 0,
    ISNUMBER(SEARCH("우주상향", K4)), 1,
    ISNUMBER(SEARCH("도전권", K4)), 2,
    ISNUMBER(SEARCH("소신~적정", K4)), 3,
    ISNUMBER(SEARCH("소신권", K4)), 4,
    ISNUMBER(SEARCH("적정~안정", K4)), 5,
    ISNUMBER(SEARCH("적정권", K4)), 6,
    ISNUMBER(SEARCH("안정권", K4)), 7,
    ISNUMBER(SEARCH("지원불가", K4)), 8,
    TRUE, 99
)</f>
        <v>1</v>
      </c>
    </row>
    <row r="5" spans="1:17" ht="28" x14ac:dyDescent="0.45">
      <c r="A5" s="1" t="s">
        <v>32</v>
      </c>
      <c r="B5" s="2">
        <v>25</v>
      </c>
      <c r="C5" s="2">
        <v>3</v>
      </c>
      <c r="D5" s="2">
        <v>16</v>
      </c>
      <c r="E5" s="2">
        <v>7</v>
      </c>
      <c r="F5" s="1">
        <v>11.7</v>
      </c>
      <c r="G5" s="1">
        <v>12.8</v>
      </c>
      <c r="H5" s="2" t="s">
        <v>15</v>
      </c>
      <c r="I5" s="2" t="s">
        <v>20</v>
      </c>
      <c r="J5" s="3">
        <v>0.01</v>
      </c>
      <c r="K5" s="1" t="s">
        <v>17</v>
      </c>
      <c r="L5">
        <f>IFERROR(VALUE(SUBSTITUTE(SUBSTITUTE(SUBSTITUTE(H5, "~", ""), "$", ""), ",", "")), 0)</f>
        <v>60000</v>
      </c>
      <c r="M5">
        <f>IF(OR(I5="-", I5=""), DATE(2099,12,31), IFERROR(DATEVALUE("2026-" &amp; SUBSTITUTE(SUBSTITUTE(SUBSTITUTE(SUBSTITUTE(SUBSTITUTE(LEFT(I5, FIND("/", I5&amp;"/", FIND("/", I5)+1)-1), "마", ""), "감", ""), "(", ""), ")", ""), " ", "")), DATE(2099,12,31)))</f>
        <v>46082</v>
      </c>
      <c r="N5" cm="1">
        <f t="array" ref="N5">IFERROR(IF(ISNUMBER(FIND("~", J5)), (VALUE(LEFT(J5, FIND("~", J5)-1)) + VALUE(SUBSTITUTE(MID(J5, FIND("~", J5)+1, 20), "%", "")))/2, IFERROR(VALUE(LEFT(SUBSTITUTE(J5, " ", ""), _xlfn.AGGREGATE(15, 6, FIND({"%","+","("}, SUBSTITUTE(J5, " ", "")), 1) - 1)), IFERROR(J5*100, 0))), 0)</f>
        <v>1</v>
      </c>
      <c r="O5" cm="1">
        <f t="array" ref="O5">_xlfn.IFS(
    K5="-", 0,
    ISNUMBER(SEARCH("우주상향", K5)), 1,
    ISNUMBER(SEARCH("도전권", K5)), 2,
    ISNUMBER(SEARCH("소신~적정", K5)), 3,
    ISNUMBER(SEARCH("소신권", K5)), 4,
    ISNUMBER(SEARCH("적정~안정", K5)), 5,
    ISNUMBER(SEARCH("적정권", K5)), 6,
    ISNUMBER(SEARCH("안정권", K5)), 7,
    ISNUMBER(SEARCH("지원불가", K5)), 8,
    TRUE, 99
)</f>
        <v>1</v>
      </c>
    </row>
    <row r="6" spans="1:17" x14ac:dyDescent="0.45">
      <c r="A6" s="1" t="s">
        <v>30</v>
      </c>
      <c r="B6" s="2">
        <v>21</v>
      </c>
      <c r="C6" s="2">
        <v>10</v>
      </c>
      <c r="D6" s="2">
        <v>9</v>
      </c>
      <c r="E6" s="2">
        <v>11</v>
      </c>
      <c r="F6" s="1">
        <v>14</v>
      </c>
      <c r="G6" s="1">
        <v>12.8</v>
      </c>
      <c r="H6" s="2" t="s">
        <v>31</v>
      </c>
      <c r="I6" s="2" t="s">
        <v>20</v>
      </c>
      <c r="J6" s="3">
        <v>1.2E-2</v>
      </c>
      <c r="K6" s="1" t="s">
        <v>17</v>
      </c>
      <c r="L6">
        <f>IFERROR(VALUE(SUBSTITUTE(SUBSTITUTE(SUBSTITUTE(H6, "~", ""), "$", ""), ",", "")), 0)</f>
        <v>64000</v>
      </c>
      <c r="M6">
        <f>IF(OR(I6="-", I6=""), DATE(2099,12,31), IFERROR(DATEVALUE("2026-" &amp; SUBSTITUTE(SUBSTITUTE(SUBSTITUTE(SUBSTITUTE(SUBSTITUTE(LEFT(I6, FIND("/", I6&amp;"/", FIND("/", I6)+1)-1), "마", ""), "감", ""), "(", ""), ")", ""), " ", "")), DATE(2099,12,31)))</f>
        <v>46082</v>
      </c>
      <c r="N6" cm="1">
        <f t="array" ref="N6">IFERROR(IF(ISNUMBER(FIND("~", J6)), (VALUE(LEFT(J6, FIND("~", J6)-1)) + VALUE(SUBSTITUTE(MID(J6, FIND("~", J6)+1, 20), "%", "")))/2, IFERROR(VALUE(LEFT(SUBSTITUTE(J6, " ", ""), _xlfn.AGGREGATE(15, 6, FIND({"%","+","("}, SUBSTITUTE(J6, " ", "")), 1) - 1)), IFERROR(J6*100, 0))), 0)</f>
        <v>1.2</v>
      </c>
      <c r="O6" cm="1">
        <f t="array" ref="O6">_xlfn.IFS(
    K6="-", 0,
    ISNUMBER(SEARCH("우주상향", K6)), 1,
    ISNUMBER(SEARCH("도전권", K6)), 2,
    ISNUMBER(SEARCH("소신~적정", K6)), 3,
    ISNUMBER(SEARCH("소신권", K6)), 4,
    ISNUMBER(SEARCH("적정~안정", K6)), 5,
    ISNUMBER(SEARCH("적정권", K6)), 6,
    ISNUMBER(SEARCH("안정권", K6)), 7,
    ISNUMBER(SEARCH("지원불가", K6)), 8,
    TRUE, 99
)</f>
        <v>1</v>
      </c>
    </row>
    <row r="7" spans="1:17" x14ac:dyDescent="0.45">
      <c r="A7" s="1" t="s">
        <v>14</v>
      </c>
      <c r="B7" s="2">
        <v>1</v>
      </c>
      <c r="C7" s="2">
        <v>2</v>
      </c>
      <c r="D7" s="2">
        <v>2</v>
      </c>
      <c r="E7" s="2">
        <v>3</v>
      </c>
      <c r="F7" s="1">
        <v>2</v>
      </c>
      <c r="G7" s="1">
        <v>2</v>
      </c>
      <c r="H7" s="2" t="s">
        <v>94</v>
      </c>
      <c r="I7" s="2" t="s">
        <v>16</v>
      </c>
      <c r="J7" s="3">
        <v>1.4999999999999999E-2</v>
      </c>
      <c r="K7" s="1" t="s">
        <v>17</v>
      </c>
      <c r="L7">
        <f>IFERROR(VALUE(SUBSTITUTE(SUBSTITUTE(SUBSTITUTE(H7, "~", ""), "$", ""), ",", "")), 0)</f>
        <v>60000</v>
      </c>
      <c r="M7">
        <f>IF(OR(I7="-", I7=""), DATE(2099,12,31), IFERROR(DATEVALUE("2026-" &amp; SUBSTITUTE(SUBSTITUTE(SUBSTITUTE(SUBSTITUTE(SUBSTITUTE(LEFT(I7, FIND("/", I7&amp;"/", FIND("/", I7)+1)-1), "마", ""), "감", ""), "(", ""), ")", ""), " ", "")), DATE(2099,12,31)))</f>
        <v>46096</v>
      </c>
      <c r="N7" cm="1">
        <f t="array" ref="N7">IFERROR(IF(ISNUMBER(FIND("~", J7)), (VALUE(LEFT(J7, FIND("~", J7)-1)) + VALUE(SUBSTITUTE(MID(J7, FIND("~", J7)+1, 20), "%", "")))/2, IFERROR(VALUE(LEFT(SUBSTITUTE(J7, " ", ""), _xlfn.AGGREGATE(15, 6, FIND({"%","+","("}, SUBSTITUTE(J7, " ", "")), 1) - 1)), IFERROR(J7*100, 0))), 0)</f>
        <v>1.5</v>
      </c>
      <c r="O7" cm="1">
        <f t="array" ref="O7">_xlfn.IFS(
    K7="-", 0,
    ISNUMBER(SEARCH("우주상향", K7)), 1,
    ISNUMBER(SEARCH("도전권", K7)), 2,
    ISNUMBER(SEARCH("소신~적정", K7)), 3,
    ISNUMBER(SEARCH("소신권", K7)), 4,
    ISNUMBER(SEARCH("적정~안정", K7)), 5,
    ISNUMBER(SEARCH("적정권", K7)), 6,
    ISNUMBER(SEARCH("안정권", K7)), 7,
    ISNUMBER(SEARCH("지원불가", K7)), 8,
    TRUE, 99
)</f>
        <v>1</v>
      </c>
    </row>
    <row r="8" spans="1:17" x14ac:dyDescent="0.45">
      <c r="A8" s="1" t="s">
        <v>26</v>
      </c>
      <c r="B8" s="2">
        <v>10</v>
      </c>
      <c r="C8" s="2">
        <v>7</v>
      </c>
      <c r="D8" s="2">
        <v>23</v>
      </c>
      <c r="E8" s="2">
        <v>9</v>
      </c>
      <c r="F8" s="1">
        <v>8.6999999999999993</v>
      </c>
      <c r="G8" s="1">
        <v>12.3</v>
      </c>
      <c r="H8" s="2" t="s">
        <v>27</v>
      </c>
      <c r="I8" s="2" t="s">
        <v>28</v>
      </c>
      <c r="J8" s="2" t="s">
        <v>29</v>
      </c>
      <c r="K8" s="1" t="s">
        <v>17</v>
      </c>
      <c r="L8">
        <f>IFERROR(VALUE(SUBSTITUTE(SUBSTITUTE(SUBSTITUTE(H8, "~", ""), "$", ""), ",", "")), 0)</f>
        <v>63000</v>
      </c>
      <c r="M8">
        <f>IF(OR(I8="-", I8=""), DATE(2099,12,31), IFERROR(DATEVALUE("2026-" &amp; SUBSTITUTE(SUBSTITUTE(SUBSTITUTE(SUBSTITUTE(SUBSTITUTE(LEFT(I8, FIND("/", I8&amp;"/", FIND("/", I8)+1)-1), "마", ""), "감", ""), "(", ""), ")", ""), " ", "")), DATE(2099,12,31)))</f>
        <v>46068</v>
      </c>
      <c r="N8" cm="1">
        <f t="array" ref="N8">IFERROR(IF(ISNUMBER(FIND("~", J8)), (VALUE(LEFT(J8, FIND("~", J8)-1)) + VALUE(SUBSTITUTE(MID(J8, FIND("~", J8)+1, 20), "%", "")))/2, IFERROR(VALUE(LEFT(SUBSTITUTE(J8, " ", ""), _xlfn.AGGREGATE(15, 6, FIND({"%","+","("}, SUBSTITUTE(J8, " ", "")), 1) - 1)), IFERROR(J8*100, 0))), 0)</f>
        <v>1.5</v>
      </c>
      <c r="O8" cm="1">
        <f t="array" ref="O8">_xlfn.IFS(
    K8="-", 0,
    ISNUMBER(SEARCH("우주상향", K8)), 1,
    ISNUMBER(SEARCH("도전권", K8)), 2,
    ISNUMBER(SEARCH("소신~적정", K8)), 3,
    ISNUMBER(SEARCH("소신권", K8)), 4,
    ISNUMBER(SEARCH("적정~안정", K8)), 5,
    ISNUMBER(SEARCH("적정권", K8)), 6,
    ISNUMBER(SEARCH("안정권", K8)), 7,
    ISNUMBER(SEARCH("지원불가", K8)), 8,
    TRUE, 99
)</f>
        <v>1</v>
      </c>
    </row>
    <row r="9" spans="1:17" x14ac:dyDescent="0.45">
      <c r="A9" s="1" t="s">
        <v>52</v>
      </c>
      <c r="B9" s="2">
        <v>61</v>
      </c>
      <c r="C9" s="2">
        <v>26</v>
      </c>
      <c r="D9" s="2">
        <v>25</v>
      </c>
      <c r="E9" s="2">
        <v>34</v>
      </c>
      <c r="F9" s="1">
        <v>40.299999999999997</v>
      </c>
      <c r="G9" s="1">
        <v>36.5</v>
      </c>
      <c r="H9" s="2" t="s">
        <v>27</v>
      </c>
      <c r="I9" s="2" t="s">
        <v>51</v>
      </c>
      <c r="J9" s="2" t="s">
        <v>53</v>
      </c>
      <c r="K9" s="1" t="s">
        <v>17</v>
      </c>
      <c r="L9">
        <f>IFERROR(VALUE(SUBSTITUTE(SUBSTITUTE(SUBSTITUTE(H9, "~", ""), "$", ""), ",", "")), 0)</f>
        <v>63000</v>
      </c>
      <c r="M9">
        <f>IF(OR(I9="-", I9=""), DATE(2099,12,31), IFERROR(DATEVALUE("2026-" &amp; SUBSTITUTE(SUBSTITUTE(SUBSTITUTE(SUBSTITUTE(SUBSTITUTE(LEFT(I9, FIND("/", I9&amp;"/", FIND("/", I9)+1)-1), "마", ""), "감", ""), "(", ""), ")", ""), " ", "")), DATE(2099,12,31)))</f>
        <v>46096</v>
      </c>
      <c r="N9" cm="1">
        <f t="array" ref="N9">IFERROR(IF(ISNUMBER(FIND("~", J9)), (VALUE(LEFT(J9, FIND("~", J9)-1)) + VALUE(SUBSTITUTE(MID(J9, FIND("~", J9)+1, 20), "%", "")))/2, IFERROR(VALUE(LEFT(SUBSTITUTE(J9, " ", ""), _xlfn.AGGREGATE(15, 6, FIND({"%","+","("}, SUBSTITUTE(J9, " ", "")), 1) - 1)), IFERROR(J9*100, 0))), 0)</f>
        <v>2.5</v>
      </c>
      <c r="O9" cm="1">
        <f t="array" ref="O9">_xlfn.IFS(
    K9="-", 0,
    ISNUMBER(SEARCH("우주상향", K9)), 1,
    ISNUMBER(SEARCH("도전권", K9)), 2,
    ISNUMBER(SEARCH("소신~적정", K9)), 3,
    ISNUMBER(SEARCH("소신권", K9)), 4,
    ISNUMBER(SEARCH("적정~안정", K9)), 5,
    ISNUMBER(SEARCH("적정권", K9)), 6,
    ISNUMBER(SEARCH("안정권", K9)), 7,
    ISNUMBER(SEARCH("지원불가", K9)), 8,
    TRUE, 99
)</f>
        <v>1</v>
      </c>
    </row>
    <row r="10" spans="1:17" x14ac:dyDescent="0.45">
      <c r="A10" s="1" t="s">
        <v>74</v>
      </c>
      <c r="B10" s="2">
        <v>79</v>
      </c>
      <c r="C10" s="2">
        <v>64</v>
      </c>
      <c r="D10" s="2">
        <v>129</v>
      </c>
      <c r="E10" s="2">
        <v>125</v>
      </c>
      <c r="F10" s="1">
        <v>89.3</v>
      </c>
      <c r="G10" s="1">
        <v>99.3</v>
      </c>
      <c r="H10" s="2" t="s">
        <v>33</v>
      </c>
      <c r="I10" s="2" t="s">
        <v>20</v>
      </c>
      <c r="J10" s="4">
        <v>0.04</v>
      </c>
      <c r="K10" s="1" t="s">
        <v>17</v>
      </c>
      <c r="L10">
        <f>IFERROR(VALUE(SUBSTITUTE(SUBSTITUTE(SUBSTITUTE(H10, "~", ""), "$", ""), ",", "")), 0)</f>
        <v>65000</v>
      </c>
      <c r="M10">
        <f>IF(OR(I10="-", I10=""), DATE(2099,12,31), IFERROR(DATEVALUE("2026-" &amp; SUBSTITUTE(SUBSTITUTE(SUBSTITUTE(SUBSTITUTE(SUBSTITUTE(LEFT(I10, FIND("/", I10&amp;"/", FIND("/", I10)+1)-1), "마", ""), "감", ""), "(", ""), ")", ""), " ", "")), DATE(2099,12,31)))</f>
        <v>46082</v>
      </c>
      <c r="N10" cm="1">
        <f t="array" ref="N10">IFERROR(IF(ISNUMBER(FIND("~", J10)), (VALUE(LEFT(J10, FIND("~", J10)-1)) + VALUE(SUBSTITUTE(MID(J10, FIND("~", J10)+1, 20), "%", "")))/2, IFERROR(VALUE(LEFT(SUBSTITUTE(J10, " ", ""), _xlfn.AGGREGATE(15, 6, FIND({"%","+","("}, SUBSTITUTE(J10, " ", "")), 1) - 1)), IFERROR(J10*100, 0))), 0)</f>
        <v>4</v>
      </c>
      <c r="O10" cm="1">
        <f t="array" ref="O10">_xlfn.IFS(
    K10="-", 0,
    ISNUMBER(SEARCH("우주상향", K10)), 1,
    ISNUMBER(SEARCH("도전권", K10)), 2,
    ISNUMBER(SEARCH("소신~적정", K10)), 3,
    ISNUMBER(SEARCH("소신권", K10)), 4,
    ISNUMBER(SEARCH("적정~안정", K10)), 5,
    ISNUMBER(SEARCH("적정권", K10)), 6,
    ISNUMBER(SEARCH("안정권", K10)), 7,
    ISNUMBER(SEARCH("지원불가", K10)), 8,
    TRUE, 99
)</f>
        <v>1</v>
      </c>
    </row>
    <row r="11" spans="1:17" ht="28" x14ac:dyDescent="0.45">
      <c r="A11" s="1" t="s">
        <v>37</v>
      </c>
      <c r="B11" s="2">
        <v>24</v>
      </c>
      <c r="C11" s="2">
        <v>16</v>
      </c>
      <c r="D11" s="2">
        <v>14</v>
      </c>
      <c r="E11" s="2">
        <v>19</v>
      </c>
      <c r="F11" s="1">
        <v>19.7</v>
      </c>
      <c r="G11" s="1">
        <v>18.3</v>
      </c>
      <c r="H11" s="2" t="s">
        <v>38</v>
      </c>
      <c r="I11" s="2" t="s">
        <v>20</v>
      </c>
      <c r="J11" s="4">
        <v>0.05</v>
      </c>
      <c r="K11" s="1" t="s">
        <v>17</v>
      </c>
      <c r="L11">
        <f>IFERROR(VALUE(SUBSTITUTE(SUBSTITUTE(SUBSTITUTE(H11, "~", ""), "$", ""), ",", "")), 0)</f>
        <v>62000</v>
      </c>
      <c r="M11">
        <f>IF(OR(I11="-", I11=""), DATE(2099,12,31), IFERROR(DATEVALUE("2026-" &amp; SUBSTITUTE(SUBSTITUTE(SUBSTITUTE(SUBSTITUTE(SUBSTITUTE(LEFT(I11, FIND("/", I11&amp;"/", FIND("/", I11)+1)-1), "마", ""), "감", ""), "(", ""), ")", ""), " ", "")), DATE(2099,12,31)))</f>
        <v>46082</v>
      </c>
      <c r="N11" cm="1">
        <f t="array" ref="N11">IFERROR(IF(ISNUMBER(FIND("~", J11)), (VALUE(LEFT(J11, FIND("~", J11)-1)) + VALUE(SUBSTITUTE(MID(J11, FIND("~", J11)+1, 20), "%", "")))/2, IFERROR(VALUE(LEFT(SUBSTITUTE(J11, " ", ""), _xlfn.AGGREGATE(15, 6, FIND({"%","+","("}, SUBSTITUTE(J11, " ", "")), 1) - 1)), IFERROR(J11*100, 0))), 0)</f>
        <v>5</v>
      </c>
      <c r="O11" cm="1">
        <f t="array" ref="O11">_xlfn.IFS(
    K11="-", 0,
    ISNUMBER(SEARCH("우주상향", K11)), 1,
    ISNUMBER(SEARCH("도전권", K11)), 2,
    ISNUMBER(SEARCH("소신~적정", K11)), 3,
    ISNUMBER(SEARCH("소신권", K11)), 4,
    ISNUMBER(SEARCH("적정~안정", K11)), 5,
    ISNUMBER(SEARCH("적정권", K11)), 6,
    ISNUMBER(SEARCH("안정권", K11)), 7,
    ISNUMBER(SEARCH("지원불가", K11)), 8,
    TRUE, 99
)</f>
        <v>1</v>
      </c>
    </row>
    <row r="12" spans="1:17" ht="28" x14ac:dyDescent="0.45">
      <c r="A12" s="1" t="s">
        <v>39</v>
      </c>
      <c r="B12" s="2">
        <v>38</v>
      </c>
      <c r="C12" s="2">
        <v>20</v>
      </c>
      <c r="D12" s="2">
        <v>10</v>
      </c>
      <c r="E12" s="2">
        <v>8</v>
      </c>
      <c r="F12" s="1">
        <v>22</v>
      </c>
      <c r="G12" s="1">
        <v>19</v>
      </c>
      <c r="H12" s="2" t="s">
        <v>40</v>
      </c>
      <c r="I12" s="2" t="s">
        <v>20</v>
      </c>
      <c r="J12" s="4">
        <v>0.06</v>
      </c>
      <c r="K12" s="1" t="s">
        <v>17</v>
      </c>
      <c r="L12">
        <f>IFERROR(VALUE(SUBSTITUTE(SUBSTITUTE(SUBSTITUTE(H12, "~", ""), "$", ""), ",", "")), 0)</f>
        <v>68000</v>
      </c>
      <c r="M12">
        <f>IF(OR(I12="-", I12=""), DATE(2099,12,31), IFERROR(DATEVALUE("2026-" &amp; SUBSTITUTE(SUBSTITUTE(SUBSTITUTE(SUBSTITUTE(SUBSTITUTE(LEFT(I12, FIND("/", I12&amp;"/", FIND("/", I12)+1)-1), "마", ""), "감", ""), "(", ""), ")", ""), " ", "")), DATE(2099,12,31)))</f>
        <v>46082</v>
      </c>
      <c r="N12" cm="1">
        <f t="array" ref="N12">IFERROR(IF(ISNUMBER(FIND("~", J12)), (VALUE(LEFT(J12, FIND("~", J12)-1)) + VALUE(SUBSTITUTE(MID(J12, FIND("~", J12)+1, 20), "%", "")))/2, IFERROR(VALUE(LEFT(SUBSTITUTE(J12, " ", ""), _xlfn.AGGREGATE(15, 6, FIND({"%","+","("}, SUBSTITUTE(J12, " ", "")), 1) - 1)), IFERROR(J12*100, 0))), 0)</f>
        <v>6</v>
      </c>
      <c r="O12" cm="1">
        <f t="array" ref="O12">_xlfn.IFS(
    K12="-", 0,
    ISNUMBER(SEARCH("우주상향", K12)), 1,
    ISNUMBER(SEARCH("도전권", K12)), 2,
    ISNUMBER(SEARCH("소신~적정", K12)), 3,
    ISNUMBER(SEARCH("소신권", K12)), 4,
    ISNUMBER(SEARCH("적정~안정", K12)), 5,
    ISNUMBER(SEARCH("적정권", K12)), 6,
    ISNUMBER(SEARCH("안정권", K12)), 7,
    ISNUMBER(SEARCH("지원불가", K12)), 8,
    TRUE, 99
)</f>
        <v>1</v>
      </c>
    </row>
    <row r="13" spans="1:17" ht="119" x14ac:dyDescent="0.45">
      <c r="A13" s="5" t="s">
        <v>100</v>
      </c>
      <c r="B13" s="2">
        <v>13</v>
      </c>
      <c r="C13" s="2">
        <v>15</v>
      </c>
      <c r="D13" s="2">
        <v>26</v>
      </c>
      <c r="E13" s="2">
        <v>10</v>
      </c>
      <c r="F13" s="1">
        <v>12.7</v>
      </c>
      <c r="G13" s="1">
        <v>16</v>
      </c>
      <c r="H13" s="2" t="s">
        <v>33</v>
      </c>
      <c r="I13" s="1" t="s">
        <v>34</v>
      </c>
      <c r="J13" s="2" t="s">
        <v>35</v>
      </c>
      <c r="K13" s="1" t="s">
        <v>36</v>
      </c>
      <c r="L13">
        <f>IFERROR(VALUE(SUBSTITUTE(SUBSTITUTE(SUBSTITUTE(H13, "~", ""), "$", ""), ",", "")), 0)</f>
        <v>65000</v>
      </c>
      <c r="M13">
        <f>IF(OR(I13="-", I13=""), DATE(2099,12,31), IFERROR(DATEVALUE("2026-" &amp; SUBSTITUTE(SUBSTITUTE(SUBSTITUTE(SUBSTITUTE(SUBSTITUTE(LEFT(I13, FIND("/", I13&amp;"/", FIND("/", I13)+1)-1), "마", ""), "감", ""), "(", ""), ")", ""), " ", "")), DATE(2099,12,31)))</f>
        <v>73050</v>
      </c>
      <c r="N13" cm="1">
        <f t="array" ref="N13">IFERROR(IF(ISNUMBER(FIND("~", J13)), (VALUE(LEFT(J13, FIND("~", J13)-1)) + VALUE(SUBSTITUTE(MID(J13, FIND("~", J13)+1, 20), "%", "")))/2, IFERROR(VALUE(LEFT(SUBSTITUTE(J13, " ", ""), _xlfn.AGGREGATE(15, 6, FIND({"%","+","("}, SUBSTITUTE(J13, " ", "")), 1) - 1)), IFERROR(J13*100, 0))), 0)</f>
        <v>6.5</v>
      </c>
      <c r="O13" cm="1">
        <f t="array" ref="O13">_xlfn.IFS(
    K13="-", 0,
    ISNUMBER(SEARCH("우주상향", K13)), 1,
    ISNUMBER(SEARCH("도전권", K13)), 2,
    ISNUMBER(SEARCH("소신~적정", K13)), 3,
    ISNUMBER(SEARCH("소신권", K13)), 4,
    ISNUMBER(SEARCH("적정~안정", K13)), 5,
    ISNUMBER(SEARCH("적정권", K13)), 6,
    ISNUMBER(SEARCH("안정권", K13)), 7,
    ISNUMBER(SEARCH("지원불가", K13)), 8,
    TRUE, 99
)</f>
        <v>2</v>
      </c>
      <c r="P13" s="7" t="s">
        <v>101</v>
      </c>
      <c r="Q13" t="s">
        <v>122</v>
      </c>
    </row>
    <row r="14" spans="1:17" ht="28" x14ac:dyDescent="0.45">
      <c r="A14" s="1" t="s">
        <v>67</v>
      </c>
      <c r="B14" s="2">
        <v>58</v>
      </c>
      <c r="C14" s="2">
        <v>24</v>
      </c>
      <c r="D14" s="2">
        <v>118</v>
      </c>
      <c r="E14" s="2">
        <v>125</v>
      </c>
      <c r="F14" s="1">
        <v>69</v>
      </c>
      <c r="G14" s="1">
        <v>81.3</v>
      </c>
      <c r="H14" s="2" t="s">
        <v>31</v>
      </c>
      <c r="I14" s="2" t="s">
        <v>20</v>
      </c>
      <c r="J14" s="2" t="s">
        <v>68</v>
      </c>
      <c r="K14" s="1" t="s">
        <v>17</v>
      </c>
      <c r="L14">
        <f>IFERROR(VALUE(SUBSTITUTE(SUBSTITUTE(SUBSTITUTE(H14, "~", ""), "$", ""), ",", "")), 0)</f>
        <v>64000</v>
      </c>
      <c r="M14">
        <f>IF(OR(I14="-", I14=""), DATE(2099,12,31), IFERROR(DATEVALUE("2026-" &amp; SUBSTITUTE(SUBSTITUTE(SUBSTITUTE(SUBSTITUTE(SUBSTITUTE(LEFT(I14, FIND("/", I14&amp;"/", FIND("/", I14)+1)-1), "마", ""), "감", ""), "(", ""), ")", ""), " ", "")), DATE(2099,12,31)))</f>
        <v>46082</v>
      </c>
      <c r="N14" cm="1">
        <f t="array" ref="N14">IFERROR(IF(ISNUMBER(FIND("~", J14)), (VALUE(LEFT(J14, FIND("~", J14)-1)) + VALUE(SUBSTITUTE(MID(J14, FIND("~", J14)+1, 20), "%", "")))/2, IFERROR(VALUE(LEFT(SUBSTITUTE(J14, " ", ""), _xlfn.AGGREGATE(15, 6, FIND({"%","+","("}, SUBSTITUTE(J14, " ", "")), 1) - 1)), IFERROR(J14*100, 0))), 0)</f>
        <v>7</v>
      </c>
      <c r="O14" cm="1">
        <f t="array" ref="O14">_xlfn.IFS(
    K14="-", 0,
    ISNUMBER(SEARCH("우주상향", K14)), 1,
    ISNUMBER(SEARCH("도전권", K14)), 2,
    ISNUMBER(SEARCH("소신~적정", K14)), 3,
    ISNUMBER(SEARCH("소신권", K14)), 4,
    ISNUMBER(SEARCH("적정~안정", K14)), 5,
    ISNUMBER(SEARCH("적정권", K14)), 6,
    ISNUMBER(SEARCH("안정권", K14)), 7,
    ISNUMBER(SEARCH("지원불가", K14)), 8,
    TRUE, 99
)</f>
        <v>1</v>
      </c>
      <c r="P14" t="s">
        <v>106</v>
      </c>
    </row>
    <row r="15" spans="1:17" ht="34" x14ac:dyDescent="0.45">
      <c r="A15" s="5" t="s">
        <v>107</v>
      </c>
      <c r="B15" s="2">
        <v>120</v>
      </c>
      <c r="C15" s="2">
        <v>68</v>
      </c>
      <c r="D15" s="2">
        <v>32</v>
      </c>
      <c r="E15" s="2">
        <v>27</v>
      </c>
      <c r="F15" s="1">
        <v>71.7</v>
      </c>
      <c r="G15" s="1">
        <v>61.8</v>
      </c>
      <c r="H15" s="2" t="s">
        <v>38</v>
      </c>
      <c r="I15" s="2" t="s">
        <v>20</v>
      </c>
      <c r="J15" s="4">
        <v>0.1</v>
      </c>
      <c r="K15" s="1" t="s">
        <v>47</v>
      </c>
      <c r="L15">
        <f>IFERROR(VALUE(SUBSTITUTE(SUBSTITUTE(SUBSTITUTE(H15, "~", ""), "$", ""), ",", "")), 0)</f>
        <v>62000</v>
      </c>
      <c r="M15">
        <f>IF(OR(I15="-", I15=""), DATE(2099,12,31), IFERROR(DATEVALUE("2026-" &amp; SUBSTITUTE(SUBSTITUTE(SUBSTITUTE(SUBSTITUTE(SUBSTITUTE(LEFT(I15, FIND("/", I15&amp;"/", FIND("/", I15)+1)-1), "마", ""), "감", ""), "(", ""), ")", ""), " ", "")), DATE(2099,12,31)))</f>
        <v>46082</v>
      </c>
      <c r="N15" cm="1">
        <f t="array" ref="N15">IFERROR(IF(ISNUMBER(FIND("~", J15)), (VALUE(LEFT(J15, FIND("~", J15)-1)) + VALUE(SUBSTITUTE(MID(J15, FIND("~", J15)+1, 20), "%", "")))/2, IFERROR(VALUE(LEFT(SUBSTITUTE(J15, " ", ""), _xlfn.AGGREGATE(15, 6, FIND({"%","+","("}, SUBSTITUTE(J15, " ", "")), 1) - 1)), IFERROR(J15*100, 0))), 0)</f>
        <v>10</v>
      </c>
      <c r="O15" cm="1">
        <f t="array" ref="O15">_xlfn.IFS(
    K15="-", 0,
    ISNUMBER(SEARCH("우주상향", K15)), 1,
    ISNUMBER(SEARCH("도전권", K15)), 2,
    ISNUMBER(SEARCH("소신~적정", K15)), 3,
    ISNUMBER(SEARCH("소신권", K15)), 4,
    ISNUMBER(SEARCH("적정~안정", K15)), 5,
    ISNUMBER(SEARCH("적정권", K15)), 6,
    ISNUMBER(SEARCH("안정권", K15)), 7,
    ISNUMBER(SEARCH("지원불가", K15)), 8,
    TRUE, 99
)</f>
        <v>2</v>
      </c>
      <c r="P15" t="s">
        <v>106</v>
      </c>
    </row>
    <row r="16" spans="1:17" s="12" customFormat="1" ht="34" x14ac:dyDescent="0.45">
      <c r="A16" s="8" t="s">
        <v>108</v>
      </c>
      <c r="B16" s="9">
        <v>42</v>
      </c>
      <c r="C16" s="9">
        <v>30</v>
      </c>
      <c r="D16" s="9">
        <v>24</v>
      </c>
      <c r="E16" s="9">
        <v>31</v>
      </c>
      <c r="F16" s="10">
        <v>34.299999999999997</v>
      </c>
      <c r="G16" s="10">
        <v>31.8</v>
      </c>
      <c r="H16" s="9" t="s">
        <v>31</v>
      </c>
      <c r="I16" s="9" t="s">
        <v>51</v>
      </c>
      <c r="J16" s="11">
        <v>0.13</v>
      </c>
      <c r="K16" s="10" t="s">
        <v>47</v>
      </c>
      <c r="L16" s="12">
        <f>IFERROR(VALUE(SUBSTITUTE(SUBSTITUTE(SUBSTITUTE(H16, "~", ""), "$", ""), ",", "")), 0)</f>
        <v>64000</v>
      </c>
      <c r="M16" s="12">
        <f>IF(OR(I16="-", I16=""), DATE(2099,12,31), IFERROR(DATEVALUE("2026-" &amp; SUBSTITUTE(SUBSTITUTE(SUBSTITUTE(SUBSTITUTE(SUBSTITUTE(LEFT(I16, FIND("/", I16&amp;"/", FIND("/", I16)+1)-1), "마", ""), "감", ""), "(", ""), ")", ""), " ", "")), DATE(2099,12,31)))</f>
        <v>46096</v>
      </c>
      <c r="N16" s="12" cm="1">
        <f t="array" ref="N16">IFERROR(IF(ISNUMBER(FIND("~", J16)), (VALUE(LEFT(J16, FIND("~", J16)-1)) + VALUE(SUBSTITUTE(MID(J16, FIND("~", J16)+1, 20), "%", "")))/2, IFERROR(VALUE(LEFT(SUBSTITUTE(J16, " ", ""), _xlfn.AGGREGATE(15, 6, FIND({"%","+","("}, SUBSTITUTE(J16, " ", "")), 1) - 1)), IFERROR(J16*100, 0))), 0)</f>
        <v>13</v>
      </c>
      <c r="O16" s="12" cm="1">
        <f t="array" ref="O16">_xlfn.IFS(
    K16="-", 0,
    ISNUMBER(SEARCH("우주상향", K16)), 1,
    ISNUMBER(SEARCH("도전권", K16)), 2,
    ISNUMBER(SEARCH("소신~적정", K16)), 3,
    ISNUMBER(SEARCH("소신권", K16)), 4,
    ISNUMBER(SEARCH("적정~안정", K16)), 5,
    ISNUMBER(SEARCH("적정권", K16)), 6,
    ISNUMBER(SEARCH("안정권", K16)), 7,
    ISNUMBER(SEARCH("지원불가", K16)), 8,
    TRUE, 99
)</f>
        <v>2</v>
      </c>
      <c r="P16" s="12" t="s">
        <v>109</v>
      </c>
    </row>
    <row r="17" spans="1:17" ht="28" x14ac:dyDescent="0.45">
      <c r="A17" s="1" t="s">
        <v>21</v>
      </c>
      <c r="B17" s="2">
        <v>17</v>
      </c>
      <c r="C17" s="2">
        <v>9</v>
      </c>
      <c r="D17" s="2">
        <v>6</v>
      </c>
      <c r="E17" s="2">
        <v>5</v>
      </c>
      <c r="F17" s="1">
        <v>10.3</v>
      </c>
      <c r="G17" s="1">
        <v>9.3000000000000007</v>
      </c>
      <c r="H17" s="2" t="s">
        <v>22</v>
      </c>
      <c r="I17" s="2" t="s">
        <v>23</v>
      </c>
      <c r="J17" s="2" t="s">
        <v>24</v>
      </c>
      <c r="K17" s="1" t="s">
        <v>25</v>
      </c>
      <c r="L17">
        <f>IFERROR(VALUE(SUBSTITUTE(SUBSTITUTE(SUBSTITUTE(H17, "~", ""), "$", ""), ",", "")), 0)</f>
        <v>48000</v>
      </c>
      <c r="M17">
        <f>IF(OR(I17="-", I17=""), DATE(2099,12,31), IFERROR(DATEVALUE("2026-" &amp; SUBSTITUTE(SUBSTITUTE(SUBSTITUTE(SUBSTITUTE(SUBSTITUTE(LEFT(I17, FIND("/", I17&amp;"/", FIND("/", I17)+1)-1), "마", ""), "감", ""), "(", ""), ")", ""), " ", "")), DATE(2099,12,31)))</f>
        <v>46356</v>
      </c>
      <c r="N17" cm="1">
        <f t="array" ref="N17">IFERROR(IF(ISNUMBER(FIND("~", J17)), (VALUE(LEFT(J17, FIND("~", J17)-1)) + VALUE(SUBSTITUTE(MID(J17, FIND("~", J17)+1, 20), "%", "")))/2, IFERROR(VALUE(LEFT(SUBSTITUTE(J17, " ", ""), _xlfn.AGGREGATE(15, 6, FIND({"%","+","("}, SUBSTITUTE(J17, " ", "")), 1) - 1)), IFERROR(J17*100, 0))), 0)</f>
        <v>22</v>
      </c>
      <c r="O17" cm="1">
        <f t="array" ref="O17">_xlfn.IFS(
    K17="-", 0,
    ISNUMBER(SEARCH("우주상향", K17)), 1,
    ISNUMBER(SEARCH("도전권", K17)), 2,
    ISNUMBER(SEARCH("소신~적정", K17)), 3,
    ISNUMBER(SEARCH("소신권", K17)), 4,
    ISNUMBER(SEARCH("적정~안정", K17)), 5,
    ISNUMBER(SEARCH("적정권", K17)), 6,
    ISNUMBER(SEARCH("안정권", K17)), 7,
    ISNUMBER(SEARCH("지원불가", K17)), 8,
    TRUE, 99
)</f>
        <v>1</v>
      </c>
    </row>
    <row r="18" spans="1:17" x14ac:dyDescent="0.45">
      <c r="A18" s="1" t="s">
        <v>110</v>
      </c>
      <c r="B18" s="2">
        <v>108</v>
      </c>
      <c r="C18" s="2">
        <v>74</v>
      </c>
      <c r="D18" s="2">
        <v>71</v>
      </c>
      <c r="E18" s="2">
        <v>63</v>
      </c>
      <c r="F18" s="1">
        <v>81.7</v>
      </c>
      <c r="G18" s="1">
        <v>79</v>
      </c>
      <c r="H18" s="2" t="s">
        <v>66</v>
      </c>
      <c r="I18" s="2" t="s">
        <v>28</v>
      </c>
      <c r="J18" s="4">
        <v>0.22</v>
      </c>
      <c r="K18" s="1" t="s">
        <v>47</v>
      </c>
      <c r="L18">
        <f>IFERROR(VALUE(SUBSTITUTE(SUBSTITUTE(SUBSTITUTE(H18, "~", ""), "$", ""), ",", "")), 0)</f>
        <v>66000</v>
      </c>
      <c r="M18">
        <f>IF(OR(I18="-", I18=""), DATE(2099,12,31), IFERROR(DATEVALUE("2026-" &amp; SUBSTITUTE(SUBSTITUTE(SUBSTITUTE(SUBSTITUTE(SUBSTITUTE(LEFT(I18, FIND("/", I18&amp;"/", FIND("/", I18)+1)-1), "마", ""), "감", ""), "(", ""), ")", ""), " ", "")), DATE(2099,12,31)))</f>
        <v>46068</v>
      </c>
      <c r="N18" cm="1">
        <f t="array" ref="N18">IFERROR(IF(ISNUMBER(FIND("~", J18)), (VALUE(LEFT(J18, FIND("~", J18)-1)) + VALUE(SUBSTITUTE(MID(J18, FIND("~", J18)+1, 20), "%", "")))/2, IFERROR(VALUE(LEFT(SUBSTITUTE(J18, " ", ""), _xlfn.AGGREGATE(15, 6, FIND({"%","+","("}, SUBSTITUTE(J18, " ", "")), 1) - 1)), IFERROR(J18*100, 0))), 0)</f>
        <v>22</v>
      </c>
      <c r="O18" cm="1">
        <f t="array" ref="O18">_xlfn.IFS(
    K18="-", 0,
    ISNUMBER(SEARCH("우주상향", K18)), 1,
    ISNUMBER(SEARCH("도전권", K18)), 2,
    ISNUMBER(SEARCH("소신~적정", K18)), 3,
    ISNUMBER(SEARCH("소신권", K18)), 4,
    ISNUMBER(SEARCH("적정~안정", K18)), 5,
    ISNUMBER(SEARCH("적정권", K18)), 6,
    ISNUMBER(SEARCH("안정권", K18)), 7,
    ISNUMBER(SEARCH("지원불가", K18)), 8,
    TRUE, 99
)</f>
        <v>2</v>
      </c>
      <c r="P18" t="s">
        <v>106</v>
      </c>
    </row>
    <row r="19" spans="1:17" ht="28" x14ac:dyDescent="0.45">
      <c r="A19" s="1" t="s">
        <v>41</v>
      </c>
      <c r="B19" s="2">
        <v>46</v>
      </c>
      <c r="C19" s="2">
        <v>18</v>
      </c>
      <c r="D19" s="2">
        <v>13</v>
      </c>
      <c r="E19" s="2">
        <v>16</v>
      </c>
      <c r="F19" s="1">
        <v>26.7</v>
      </c>
      <c r="G19" s="1">
        <v>23.3</v>
      </c>
      <c r="H19" s="2" t="s">
        <v>42</v>
      </c>
      <c r="I19" s="2" t="s">
        <v>23</v>
      </c>
      <c r="J19" s="2" t="s">
        <v>43</v>
      </c>
      <c r="K19" s="1" t="s">
        <v>17</v>
      </c>
      <c r="L19">
        <f>IFERROR(VALUE(SUBSTITUTE(SUBSTITUTE(SUBSTITUTE(H19, "~", ""), "$", ""), ",", "")), 0)</f>
        <v>47000</v>
      </c>
      <c r="M19">
        <f>IF(OR(I19="-", I19=""), DATE(2099,12,31), IFERROR(DATEVALUE("2026-" &amp; SUBSTITUTE(SUBSTITUTE(SUBSTITUTE(SUBSTITUTE(SUBSTITUTE(LEFT(I19, FIND("/", I19&amp;"/", FIND("/", I19)+1)-1), "마", ""), "감", ""), "(", ""), ")", ""), " ", "")), DATE(2099,12,31)))</f>
        <v>46356</v>
      </c>
      <c r="N19" cm="1">
        <f t="array" ref="N19">IFERROR(IF(ISNUMBER(FIND("~", J19)), (VALUE(LEFT(J19, FIND("~", J19)-1)) + VALUE(SUBSTITUTE(MID(J19, FIND("~", J19)+1, 20), "%", "")))/2, IFERROR(VALUE(LEFT(SUBSTITUTE(J19, " ", ""), _xlfn.AGGREGATE(15, 6, FIND({"%","+","("}, SUBSTITUTE(J19, " ", "")), 1) - 1)), IFERROR(J19*100, 0))), 0)</f>
        <v>24</v>
      </c>
      <c r="O19" cm="1">
        <f t="array" ref="O19">_xlfn.IFS(
    K19="-", 0,
    ISNUMBER(SEARCH("우주상향", K19)), 1,
    ISNUMBER(SEARCH("도전권", K19)), 2,
    ISNUMBER(SEARCH("소신~적정", K19)), 3,
    ISNUMBER(SEARCH("소신권", K19)), 4,
    ISNUMBER(SEARCH("적정~안정", K19)), 5,
    ISNUMBER(SEARCH("적정권", K19)), 6,
    ISNUMBER(SEARCH("안정권", K19)), 7,
    ISNUMBER(SEARCH("지원불가", K19)), 8,
    TRUE, 99
)</f>
        <v>1</v>
      </c>
      <c r="P19" t="s">
        <v>106</v>
      </c>
    </row>
    <row r="20" spans="1:17" ht="34" x14ac:dyDescent="0.45">
      <c r="A20" s="1" t="s">
        <v>111</v>
      </c>
      <c r="B20" s="2">
        <v>66</v>
      </c>
      <c r="C20" s="2">
        <v>52</v>
      </c>
      <c r="D20" s="2">
        <v>43</v>
      </c>
      <c r="E20" s="2">
        <v>43</v>
      </c>
      <c r="F20" s="1">
        <v>53.7</v>
      </c>
      <c r="G20" s="1">
        <v>51</v>
      </c>
      <c r="H20" s="2" t="s">
        <v>48</v>
      </c>
      <c r="I20" s="2" t="s">
        <v>56</v>
      </c>
      <c r="J20" s="2" t="s">
        <v>57</v>
      </c>
      <c r="K20" s="1" t="s">
        <v>47</v>
      </c>
      <c r="L20">
        <f>IFERROR(VALUE(SUBSTITUTE(SUBSTITUTE(SUBSTITUTE(H20, "~", ""), "$", ""), ",", "")), 0)</f>
        <v>41000</v>
      </c>
      <c r="M20">
        <f>IF(OR(I20="-", I20=""), DATE(2099,12,31), IFERROR(DATEVALUE("2026-" &amp; SUBSTITUTE(SUBSTITUTE(SUBSTITUTE(SUBSTITUTE(SUBSTITUTE(LEFT(I20, FIND("/", I20&amp;"/", FIND("/", I20)+1)-1), "마", ""), "감", ""), "(", ""), ")", ""), " ", "")), DATE(2099,12,31)))</f>
        <v>46082</v>
      </c>
      <c r="N20" cm="1">
        <f t="array" ref="N20">IFERROR(IF(ISNUMBER(FIND("~", J20)), (VALUE(LEFT(J20, FIND("~", J20)-1)) + VALUE(SUBSTITUTE(MID(J20, FIND("~", J20)+1, 20), "%", "")))/2, IFERROR(VALUE(LEFT(SUBSTITUTE(J20, " ", ""), _xlfn.AGGREGATE(15, 6, FIND({"%","+","("}, SUBSTITUTE(J20, " ", "")), 1) - 1)), IFERROR(J20*100, 0))), 0)</f>
        <v>25</v>
      </c>
      <c r="O20" cm="1">
        <f t="array" ref="O20">_xlfn.IFS(
    K20="-", 0,
    ISNUMBER(SEARCH("우주상향", K20)), 1,
    ISNUMBER(SEARCH("도전권", K20)), 2,
    ISNUMBER(SEARCH("소신~적정", K20)), 3,
    ISNUMBER(SEARCH("소신권", K20)), 4,
    ISNUMBER(SEARCH("적정~안정", K20)), 5,
    ISNUMBER(SEARCH("적정권", K20)), 6,
    ISNUMBER(SEARCH("안정권", K20)), 7,
    ISNUMBER(SEARCH("지원불가", K20)), 8,
    TRUE, 99
)</f>
        <v>2</v>
      </c>
      <c r="P20" t="s">
        <v>112</v>
      </c>
    </row>
    <row r="21" spans="1:17" ht="28" x14ac:dyDescent="0.45">
      <c r="A21" s="1" t="s">
        <v>69</v>
      </c>
      <c r="B21" s="2">
        <v>114</v>
      </c>
      <c r="C21" s="2">
        <v>36</v>
      </c>
      <c r="D21" s="2">
        <v>51</v>
      </c>
      <c r="E21" s="2">
        <v>150</v>
      </c>
      <c r="F21" s="1">
        <v>100</v>
      </c>
      <c r="G21" s="1">
        <v>87.8</v>
      </c>
      <c r="H21" s="2" t="s">
        <v>70</v>
      </c>
      <c r="I21" s="2" t="s">
        <v>20</v>
      </c>
      <c r="J21" s="2" t="s">
        <v>71</v>
      </c>
      <c r="K21" s="1" t="s">
        <v>47</v>
      </c>
      <c r="L21">
        <f>IFERROR(VALUE(SUBSTITUTE(SUBSTITUTE(SUBSTITUTE(H21, "~", ""), "$", ""), ",", "")), 0)</f>
        <v>33000</v>
      </c>
      <c r="M21">
        <f>IF(OR(I21="-", I21=""), DATE(2099,12,31), IFERROR(DATEVALUE("2026-" &amp; SUBSTITUTE(SUBSTITUTE(SUBSTITUTE(SUBSTITUTE(SUBSTITUTE(LEFT(I21, FIND("/", I21&amp;"/", FIND("/", I21)+1)-1), "마", ""), "감", ""), "(", ""), ")", ""), " ", "")), DATE(2099,12,31)))</f>
        <v>46082</v>
      </c>
      <c r="N21" cm="1">
        <f t="array" ref="N21">IFERROR(IF(ISNUMBER(FIND("~", J21)), (VALUE(LEFT(J21, FIND("~", J21)-1)) + VALUE(SUBSTITUTE(MID(J21, FIND("~", J21)+1, 20), "%", "")))/2, IFERROR(VALUE(LEFT(SUBSTITUTE(J21, " ", ""), _xlfn.AGGREGATE(15, 6, FIND({"%","+","("}, SUBSTITUTE(J21, " ", "")), 1) - 1)), IFERROR(J21*100, 0))), 0)</f>
        <v>30</v>
      </c>
      <c r="O21" cm="1">
        <f t="array" ref="O21">_xlfn.IFS(
    K21="-", 0,
    ISNUMBER(SEARCH("우주상향", K21)), 1,
    ISNUMBER(SEARCH("도전권", K21)), 2,
    ISNUMBER(SEARCH("소신~적정", K21)), 3,
    ISNUMBER(SEARCH("소신권", K21)), 4,
    ISNUMBER(SEARCH("적정~안정", K21)), 5,
    ISNUMBER(SEARCH("적정권", K21)), 6,
    ISNUMBER(SEARCH("안정권", K21)), 7,
    ISNUMBER(SEARCH("지원불가", K21)), 8,
    TRUE, 99
)</f>
        <v>2</v>
      </c>
      <c r="P21" t="s">
        <v>113</v>
      </c>
      <c r="Q21" t="s">
        <v>114</v>
      </c>
    </row>
    <row r="22" spans="1:17" ht="28" x14ac:dyDescent="0.45">
      <c r="A22" s="1" t="s">
        <v>44</v>
      </c>
      <c r="B22" s="2">
        <v>44</v>
      </c>
      <c r="C22" s="2">
        <v>23</v>
      </c>
      <c r="D22" s="2">
        <v>21</v>
      </c>
      <c r="E22" s="2">
        <v>33</v>
      </c>
      <c r="F22" s="1">
        <v>33.299999999999997</v>
      </c>
      <c r="G22" s="1">
        <v>30.3</v>
      </c>
      <c r="H22" s="2" t="s">
        <v>45</v>
      </c>
      <c r="I22" s="6" t="s">
        <v>95</v>
      </c>
      <c r="J22" s="2" t="s">
        <v>46</v>
      </c>
      <c r="K22" s="1" t="s">
        <v>47</v>
      </c>
      <c r="L22">
        <f>IFERROR(VALUE(SUBSTITUTE(SUBSTITUTE(SUBSTITUTE(H22, "~", ""), "$", ""), ",", "")), 0)</f>
        <v>57000</v>
      </c>
      <c r="M22">
        <f>IF(OR(I22="-", I22=""), DATE(2099,12,31), IFERROR(DATEVALUE("2026-" &amp; SUBSTITUTE(SUBSTITUTE(SUBSTITUTE(SUBSTITUTE(SUBSTITUTE(LEFT(I22, FIND("/", I22&amp;"/", FIND("/", I22)+1)-1), "마", ""), "감", ""), "(", ""), ")", ""), " ", "")), DATE(2099,12,31)))</f>
        <v>46054</v>
      </c>
      <c r="N22" cm="1">
        <f t="array" ref="N22">IFERROR(IF(ISNUMBER(FIND("~", J22)), (VALUE(LEFT(J22, FIND("~", J22)-1)) + VALUE(SUBSTITUTE(MID(J22, FIND("~", J22)+1, 20), "%", "")))/2, IFERROR(VALUE(LEFT(SUBSTITUTE(J22, " ", ""), _xlfn.AGGREGATE(15, 6, FIND({"%","+","("}, SUBSTITUTE(J22, " ", "")), 1) - 1)), IFERROR(J22*100, 0))), 0)</f>
        <v>35</v>
      </c>
      <c r="O22" cm="1">
        <f t="array" ref="O22">_xlfn.IFS(
    K22="-", 0,
    ISNUMBER(SEARCH("우주상향", K22)), 1,
    ISNUMBER(SEARCH("도전권", K22)), 2,
    ISNUMBER(SEARCH("소신~적정", K22)), 3,
    ISNUMBER(SEARCH("소신권", K22)), 4,
    ISNUMBER(SEARCH("적정~안정", K22)), 5,
    ISNUMBER(SEARCH("적정권", K22)), 6,
    ISNUMBER(SEARCH("안정권", K22)), 7,
    ISNUMBER(SEARCH("지원불가", K22)), 8,
    TRUE, 99
)</f>
        <v>2</v>
      </c>
      <c r="P22" t="s">
        <v>115</v>
      </c>
    </row>
    <row r="23" spans="1:17" ht="34" x14ac:dyDescent="0.45">
      <c r="A23" s="1" t="s">
        <v>119</v>
      </c>
      <c r="B23" s="2">
        <v>155</v>
      </c>
      <c r="C23" s="2">
        <v>72</v>
      </c>
      <c r="D23" s="2">
        <v>41</v>
      </c>
      <c r="E23" s="2">
        <v>36</v>
      </c>
      <c r="F23" s="1">
        <v>87.7</v>
      </c>
      <c r="G23" s="1">
        <v>76</v>
      </c>
      <c r="H23" s="2" t="s">
        <v>65</v>
      </c>
      <c r="I23" s="2" t="s">
        <v>28</v>
      </c>
      <c r="J23" s="4">
        <v>0.4</v>
      </c>
      <c r="K23" s="1" t="s">
        <v>64</v>
      </c>
      <c r="L23">
        <f>IFERROR(VALUE(SUBSTITUTE(SUBSTITUTE(SUBSTITUTE(H23, "~", ""), "$", ""), ",", "")), 0)</f>
        <v>39000</v>
      </c>
      <c r="M23">
        <f>IF(OR(I23="-", I23=""), DATE(2099,12,31), IFERROR(DATEVALUE("2026-" &amp; SUBSTITUTE(SUBSTITUTE(SUBSTITUTE(SUBSTITUTE(SUBSTITUTE(LEFT(I23, FIND("/", I23&amp;"/", FIND("/", I23)+1)-1), "마", ""), "감", ""), "(", ""), ")", ""), " ", "")), DATE(2099,12,31)))</f>
        <v>46068</v>
      </c>
      <c r="N23" cm="1">
        <f t="array" ref="N23">IFERROR(IF(ISNUMBER(FIND("~", J23)), (VALUE(LEFT(J23, FIND("~", J23)-1)) + VALUE(SUBSTITUTE(MID(J23, FIND("~", J23)+1, 20), "%", "")))/2, IFERROR(VALUE(LEFT(SUBSTITUTE(J23, " ", ""), _xlfn.AGGREGATE(15, 6, FIND({"%","+","("}, SUBSTITUTE(J23, " ", "")), 1) - 1)), IFERROR(J23*100, 0))), 0)</f>
        <v>40</v>
      </c>
      <c r="O23" cm="1">
        <f t="array" ref="O23">_xlfn.IFS(
    K23="-", 0,
    ISNUMBER(SEARCH("우주상향", K23)), 1,
    ISNUMBER(SEARCH("도전권", K23)), 2,
    ISNUMBER(SEARCH("소신~적정", K23)), 3,
    ISNUMBER(SEARCH("소신권", K23)), 4,
    ISNUMBER(SEARCH("적정~안정", K23)), 5,
    ISNUMBER(SEARCH("적정권", K23)), 6,
    ISNUMBER(SEARCH("안정권", K23)), 7,
    ISNUMBER(SEARCH("지원불가", K23)), 8,
    TRUE, 99
)</f>
        <v>4</v>
      </c>
      <c r="P23" t="s">
        <v>106</v>
      </c>
    </row>
    <row r="24" spans="1:17" s="12" customFormat="1" x14ac:dyDescent="0.45">
      <c r="A24" s="10" t="s">
        <v>79</v>
      </c>
      <c r="B24" s="9">
        <v>89</v>
      </c>
      <c r="C24" s="9">
        <v>86</v>
      </c>
      <c r="D24" s="9">
        <v>140</v>
      </c>
      <c r="E24" s="9">
        <v>125</v>
      </c>
      <c r="F24" s="10">
        <v>100</v>
      </c>
      <c r="G24" s="10">
        <v>110</v>
      </c>
      <c r="H24" s="9" t="s">
        <v>80</v>
      </c>
      <c r="I24" s="9" t="s">
        <v>81</v>
      </c>
      <c r="J24" s="11">
        <v>0.4</v>
      </c>
      <c r="K24" s="10" t="s">
        <v>82</v>
      </c>
      <c r="L24" s="12">
        <f>IFERROR(VALUE(SUBSTITUTE(SUBSTITUTE(SUBSTITUTE(H24, "~", ""), "$", ""), ",", "")), 0)</f>
        <v>29000</v>
      </c>
      <c r="M24" s="12">
        <f>IF(OR(I24="-", I24=""), DATE(2099,12,31), IFERROR(DATEVALUE("2026-" &amp; SUBSTITUTE(SUBSTITUTE(SUBSTITUTE(SUBSTITUTE(SUBSTITUTE(LEFT(I24, FIND("/", I24&amp;"/", FIND("/", I24)+1)-1), "마", ""), "감", ""), "(", ""), ")", ""), " ", "")), DATE(2099,12,31)))</f>
        <v>46174</v>
      </c>
      <c r="N24" s="12" cm="1">
        <f t="array" ref="N24">IFERROR(IF(ISNUMBER(FIND("~", J24)), (VALUE(LEFT(J24, FIND("~", J24)-1)) + VALUE(SUBSTITUTE(MID(J24, FIND("~", J24)+1, 20), "%", "")))/2, IFERROR(VALUE(LEFT(SUBSTITUTE(J24, " ", ""), _xlfn.AGGREGATE(15, 6, FIND({"%","+","("}, SUBSTITUTE(J24, " ", "")), 1) - 1)), IFERROR(J24*100, 0))), 0)</f>
        <v>40</v>
      </c>
      <c r="O24" s="12" cm="1">
        <f t="array" ref="O24">_xlfn.IFS(
    K24="-", 0,
    ISNUMBER(SEARCH("우주상향", K24)), 1,
    ISNUMBER(SEARCH("도전권", K24)), 2,
    ISNUMBER(SEARCH("소신~적정", K24)), 3,
    ISNUMBER(SEARCH("소신권", K24)), 4,
    ISNUMBER(SEARCH("적정~안정", K24)), 5,
    ISNUMBER(SEARCH("적정권", K24)), 6,
    ISNUMBER(SEARCH("안정권", K24)), 7,
    ISNUMBER(SEARCH("지원불가", K24)), 8,
    TRUE, 99
)</f>
        <v>8</v>
      </c>
      <c r="P24" s="12" t="s">
        <v>120</v>
      </c>
    </row>
    <row r="25" spans="1:17" ht="28" x14ac:dyDescent="0.45">
      <c r="A25" s="1" t="s">
        <v>72</v>
      </c>
      <c r="B25" s="2">
        <v>108</v>
      </c>
      <c r="C25" s="2">
        <v>78</v>
      </c>
      <c r="D25" s="2">
        <v>73</v>
      </c>
      <c r="E25" s="2">
        <v>125</v>
      </c>
      <c r="F25" s="1">
        <v>103.7</v>
      </c>
      <c r="G25" s="1">
        <v>96</v>
      </c>
      <c r="H25" s="2" t="s">
        <v>33</v>
      </c>
      <c r="I25" s="1" t="s">
        <v>73</v>
      </c>
      <c r="J25" s="4">
        <v>0.4</v>
      </c>
      <c r="K25" s="1" t="s">
        <v>64</v>
      </c>
      <c r="L25">
        <f>IFERROR(VALUE(SUBSTITUTE(SUBSTITUTE(SUBSTITUTE(H25, "~", ""), "$", ""), ",", "")), 0)</f>
        <v>65000</v>
      </c>
      <c r="M25">
        <f>IF(OR(I25="-", I25=""), DATE(2099,12,31), IFERROR(DATEVALUE("2026-" &amp; SUBSTITUTE(SUBSTITUTE(SUBSTITUTE(SUBSTITUTE(SUBSTITUTE(LEFT(I25, FIND("/", I25&amp;"/", FIND("/", I25)+1)-1), "마", ""), "감", ""), "(", ""), ")", ""), " ", "")), DATE(2099,12,31)))</f>
        <v>46127</v>
      </c>
      <c r="N25" cm="1">
        <f t="array" ref="N25">IFERROR(IF(ISNUMBER(FIND("~", J25)), (VALUE(LEFT(J25, FIND("~", J25)-1)) + VALUE(SUBSTITUTE(MID(J25, FIND("~", J25)+1, 20), "%", "")))/2, IFERROR(VALUE(LEFT(SUBSTITUTE(J25, " ", ""), _xlfn.AGGREGATE(15, 6, FIND({"%","+","("}, SUBSTITUTE(J25, " ", "")), 1) - 1)), IFERROR(J25*100, 0))), 0)</f>
        <v>40</v>
      </c>
      <c r="O25" cm="1">
        <f t="array" ref="O25">_xlfn.IFS(
    K25="-", 0,
    ISNUMBER(SEARCH("우주상향", K25)), 1,
    ISNUMBER(SEARCH("도전권", K25)), 2,
    ISNUMBER(SEARCH("소신~적정", K25)), 3,
    ISNUMBER(SEARCH("소신권", K25)), 4,
    ISNUMBER(SEARCH("적정~안정", K25)), 5,
    ISNUMBER(SEARCH("적정권", K25)), 6,
    ISNUMBER(SEARCH("안정권", K25)), 7,
    ISNUMBER(SEARCH("지원불가", K25)), 8,
    TRUE, 99
)</f>
        <v>4</v>
      </c>
      <c r="P25" t="s">
        <v>118</v>
      </c>
    </row>
    <row r="26" spans="1:17" ht="34" x14ac:dyDescent="0.45">
      <c r="A26" s="5" t="s">
        <v>104</v>
      </c>
      <c r="B26" s="2">
        <v>76</v>
      </c>
      <c r="C26" s="2">
        <v>25</v>
      </c>
      <c r="D26" s="2">
        <v>6</v>
      </c>
      <c r="E26" s="2">
        <v>18</v>
      </c>
      <c r="F26" s="1">
        <v>39.700000000000003</v>
      </c>
      <c r="G26" s="1">
        <v>31.3</v>
      </c>
      <c r="H26" s="2" t="s">
        <v>48</v>
      </c>
      <c r="I26" s="2" t="s">
        <v>49</v>
      </c>
      <c r="J26" s="2" t="s">
        <v>50</v>
      </c>
      <c r="K26" s="1" t="s">
        <v>47</v>
      </c>
      <c r="L26">
        <f>IFERROR(VALUE(SUBSTITUTE(SUBSTITUTE(SUBSTITUTE(H26, "~", ""), "$", ""), ",", "")), 0)</f>
        <v>41000</v>
      </c>
      <c r="M26">
        <f>IF(OR(I26="-", I26=""), DATE(2099,12,31), IFERROR(DATEVALUE("2026-" &amp; SUBSTITUTE(SUBSTITUTE(SUBSTITUTE(SUBSTITUTE(SUBSTITUTE(LEFT(I26, FIND("/", I26&amp;"/", FIND("/", I26)+1)-1), "마", ""), "감", ""), "(", ""), ")", ""), " ", "")), DATE(2099,12,31)))</f>
        <v>46068</v>
      </c>
      <c r="N26" cm="1">
        <f t="array" ref="N26">IFERROR(IF(ISNUMBER(FIND("~", J26)), (VALUE(LEFT(J26, FIND("~", J26)-1)) + VALUE(SUBSTITUTE(MID(J26, FIND("~", J26)+1, 20), "%", "")))/2, IFERROR(VALUE(LEFT(SUBSTITUTE(J26, " ", ""), _xlfn.AGGREGATE(15, 6, FIND({"%","+","("}, SUBSTITUTE(J26, " ", "")), 1) - 1)), IFERROR(J26*100, 0))), 0)</f>
        <v>45</v>
      </c>
      <c r="O26" cm="1">
        <f t="array" ref="O26">_xlfn.IFS(
    K26="-", 0,
    ISNUMBER(SEARCH("우주상향", K26)), 1,
    ISNUMBER(SEARCH("도전권", K26)), 2,
    ISNUMBER(SEARCH("소신~적정", K26)), 3,
    ISNUMBER(SEARCH("소신권", K26)), 4,
    ISNUMBER(SEARCH("적정~안정", K26)), 5,
    ISNUMBER(SEARCH("적정권", K26)), 6,
    ISNUMBER(SEARCH("안정권", K26)), 7,
    ISNUMBER(SEARCH("지원불가", K26)), 8,
    TRUE, 99
)</f>
        <v>2</v>
      </c>
      <c r="P26" t="s">
        <v>105</v>
      </c>
    </row>
    <row r="27" spans="1:17" s="12" customFormat="1" ht="28" x14ac:dyDescent="0.45">
      <c r="A27" s="10" t="s">
        <v>58</v>
      </c>
      <c r="B27" s="9">
        <v>69</v>
      </c>
      <c r="C27" s="9">
        <v>42</v>
      </c>
      <c r="D27" s="9">
        <v>73</v>
      </c>
      <c r="E27" s="9">
        <v>42</v>
      </c>
      <c r="F27" s="10">
        <v>51</v>
      </c>
      <c r="G27" s="10">
        <v>56.5</v>
      </c>
      <c r="H27" s="9" t="s">
        <v>48</v>
      </c>
      <c r="I27" s="10" t="s">
        <v>59</v>
      </c>
      <c r="J27" s="9" t="s">
        <v>60</v>
      </c>
      <c r="K27" s="10" t="s">
        <v>61</v>
      </c>
      <c r="L27" s="12">
        <f>IFERROR(VALUE(SUBSTITUTE(SUBSTITUTE(SUBSTITUTE(H27, "~", ""), "$", ""), ",", "")), 0)</f>
        <v>41000</v>
      </c>
      <c r="M27" s="12">
        <f>IF(OR(I27="-", I27=""), DATE(2099,12,31), IFERROR(DATEVALUE("2026-" &amp; SUBSTITUTE(SUBSTITUTE(SUBSTITUTE(SUBSTITUTE(SUBSTITUTE(LEFT(I27, FIND("/", I27&amp;"/", FIND("/", I27)+1)-1), "마", ""), "감", ""), "(", ""), ")", ""), " ", "")), DATE(2099,12,31)))</f>
        <v>46117</v>
      </c>
      <c r="N27" s="12" cm="1">
        <f t="array" ref="N27">IFERROR(IF(ISNUMBER(FIND("~", J27)), (VALUE(LEFT(J27, FIND("~", J27)-1)) + VALUE(SUBSTITUTE(MID(J27, FIND("~", J27)+1, 20), "%", "")))/2, IFERROR(VALUE(LEFT(SUBSTITUTE(J27, " ", ""), _xlfn.AGGREGATE(15, 6, FIND({"%","+","("}, SUBSTITUTE(J27, " ", "")), 1) - 1)), IFERROR(J27*100, 0))), 0)</f>
        <v>45</v>
      </c>
      <c r="O27" s="12" cm="1">
        <f t="array" ref="O27">_xlfn.IFS(
    K27="-", 0,
    ISNUMBER(SEARCH("우주상향", K27)), 1,
    ISNUMBER(SEARCH("도전권", K27)), 2,
    ISNUMBER(SEARCH("소신~적정", K27)), 3,
    ISNUMBER(SEARCH("소신권", K27)), 4,
    ISNUMBER(SEARCH("적정~안정", K27)), 5,
    ISNUMBER(SEARCH("적정권", K27)), 6,
    ISNUMBER(SEARCH("안정권", K27)), 7,
    ISNUMBER(SEARCH("지원불가", K27)), 8,
    TRUE, 99
)</f>
        <v>4</v>
      </c>
      <c r="P27" s="12" t="s">
        <v>121</v>
      </c>
    </row>
    <row r="28" spans="1:17" ht="28" x14ac:dyDescent="0.45">
      <c r="A28" s="1" t="s">
        <v>54</v>
      </c>
      <c r="B28" s="2">
        <v>66</v>
      </c>
      <c r="C28" s="2">
        <v>47</v>
      </c>
      <c r="D28" s="2">
        <v>21</v>
      </c>
      <c r="E28" s="2">
        <v>20</v>
      </c>
      <c r="F28" s="1">
        <v>44.3</v>
      </c>
      <c r="G28" s="1">
        <v>38.5</v>
      </c>
      <c r="H28" s="2" t="s">
        <v>22</v>
      </c>
      <c r="I28" s="2" t="s">
        <v>23</v>
      </c>
      <c r="J28" s="2" t="s">
        <v>55</v>
      </c>
      <c r="K28" s="1" t="s">
        <v>47</v>
      </c>
      <c r="L28">
        <f>IFERROR(VALUE(SUBSTITUTE(SUBSTITUTE(SUBSTITUTE(H28, "~", ""), "$", ""), ",", "")), 0)</f>
        <v>48000</v>
      </c>
      <c r="M28">
        <f>IF(OR(I28="-", I28=""), DATE(2099,12,31), IFERROR(DATEVALUE("2026-" &amp; SUBSTITUTE(SUBSTITUTE(SUBSTITUTE(SUBSTITUTE(SUBSTITUTE(LEFT(I28, FIND("/", I28&amp;"/", FIND("/", I28)+1)-1), "마", ""), "감", ""), "(", ""), ")", ""), " ", "")), DATE(2099,12,31)))</f>
        <v>46356</v>
      </c>
      <c r="N28" cm="1">
        <f t="array" ref="N28">IFERROR(IF(ISNUMBER(FIND("~", J28)), (VALUE(LEFT(J28, FIND("~", J28)-1)) + VALUE(SUBSTITUTE(MID(J28, FIND("~", J28)+1, 20), "%", "")))/2, IFERROR(VALUE(LEFT(SUBSTITUTE(J28, " ", ""), _xlfn.AGGREGATE(15, 6, FIND({"%","+","("}, SUBSTITUTE(J28, " ", "")), 1) - 1)), IFERROR(J28*100, 0))), 0)</f>
        <v>50</v>
      </c>
      <c r="O28" cm="1">
        <f t="array" ref="O28">_xlfn.IFS(
    K28="-", 0,
    ISNUMBER(SEARCH("우주상향", K28)), 1,
    ISNUMBER(SEARCH("도전권", K28)), 2,
    ISNUMBER(SEARCH("소신~적정", K28)), 3,
    ISNUMBER(SEARCH("소신권", K28)), 4,
    ISNUMBER(SEARCH("적정~안정", K28)), 5,
    ISNUMBER(SEARCH("적정권", K28)), 6,
    ISNUMBER(SEARCH("안정권", K28)), 7,
    ISNUMBER(SEARCH("지원불가", K28)), 8,
    TRUE, 99
)</f>
        <v>2</v>
      </c>
      <c r="P28" t="s">
        <v>106</v>
      </c>
    </row>
    <row r="29" spans="1:17" ht="34" x14ac:dyDescent="0.45">
      <c r="A29" s="5" t="s">
        <v>116</v>
      </c>
      <c r="B29" s="2">
        <v>116</v>
      </c>
      <c r="C29" s="2">
        <v>63</v>
      </c>
      <c r="D29" s="2">
        <v>39</v>
      </c>
      <c r="E29" s="2">
        <v>35</v>
      </c>
      <c r="F29" s="1">
        <v>71.3</v>
      </c>
      <c r="G29" s="1">
        <v>63.3</v>
      </c>
      <c r="H29" s="2" t="s">
        <v>62</v>
      </c>
      <c r="I29" s="2" t="s">
        <v>63</v>
      </c>
      <c r="J29" s="4">
        <v>0.5</v>
      </c>
      <c r="K29" s="1" t="s">
        <v>64</v>
      </c>
      <c r="L29">
        <f>IFERROR(VALUE(SUBSTITUTE(SUBSTITUTE(SUBSTITUTE(H29, "~", ""), "$", ""), ",", "")), 0)</f>
        <v>40000</v>
      </c>
      <c r="M29">
        <f>IF(OR(I29="-", I29=""), DATE(2099,12,31), IFERROR(DATEVALUE("2026-" &amp; SUBSTITUTE(SUBSTITUTE(SUBSTITUTE(SUBSTITUTE(SUBSTITUTE(LEFT(I29, FIND("/", I29&amp;"/", FIND("/", I29)+1)-1), "마", ""), "감", ""), "(", ""), ")", ""), " ", "")), DATE(2099,12,31)))</f>
        <v>46082</v>
      </c>
      <c r="N29" cm="1">
        <f t="array" ref="N29">IFERROR(IF(ISNUMBER(FIND("~", J29)), (VALUE(LEFT(J29, FIND("~", J29)-1)) + VALUE(SUBSTITUTE(MID(J29, FIND("~", J29)+1, 20), "%", "")))/2, IFERROR(VALUE(LEFT(SUBSTITUTE(J29, " ", ""), _xlfn.AGGREGATE(15, 6, FIND({"%","+","("}, SUBSTITUTE(J29, " ", "")), 1) - 1)), IFERROR(J29*100, 0))), 0)</f>
        <v>50</v>
      </c>
      <c r="O29" cm="1">
        <f t="array" ref="O29">_xlfn.IFS(
    K29="-", 0,
    ISNUMBER(SEARCH("우주상향", K29)), 1,
    ISNUMBER(SEARCH("도전권", K29)), 2,
    ISNUMBER(SEARCH("소신~적정", K29)), 3,
    ISNUMBER(SEARCH("소신권", K29)), 4,
    ISNUMBER(SEARCH("적정~안정", K29)), 5,
    ISNUMBER(SEARCH("적정권", K29)), 6,
    ISNUMBER(SEARCH("안정권", K29)), 7,
    ISNUMBER(SEARCH("지원불가", K29)), 8,
    TRUE, 99
)</f>
        <v>4</v>
      </c>
      <c r="P29" t="s">
        <v>117</v>
      </c>
    </row>
    <row r="30" spans="1:17" ht="28" x14ac:dyDescent="0.45">
      <c r="A30" s="1" t="s">
        <v>75</v>
      </c>
      <c r="B30" s="2">
        <v>89</v>
      </c>
      <c r="C30" s="2">
        <v>122</v>
      </c>
      <c r="D30" s="2">
        <v>80</v>
      </c>
      <c r="E30" s="2">
        <v>125</v>
      </c>
      <c r="F30" s="1">
        <v>112</v>
      </c>
      <c r="G30" s="1">
        <v>104</v>
      </c>
      <c r="H30" s="2" t="s">
        <v>62</v>
      </c>
      <c r="I30" s="1" t="s">
        <v>76</v>
      </c>
      <c r="J30" s="2" t="s">
        <v>77</v>
      </c>
      <c r="K30" s="1" t="s">
        <v>78</v>
      </c>
      <c r="L30">
        <f>IFERROR(VALUE(SUBSTITUTE(SUBSTITUTE(SUBSTITUTE(H30, "~", ""), "$", ""), ",", "")), 0)</f>
        <v>40000</v>
      </c>
      <c r="M30">
        <f>IF(OR(I30="-", I30=""), DATE(2099,12,31), IFERROR(DATEVALUE("2026-" &amp; SUBSTITUTE(SUBSTITUTE(SUBSTITUTE(SUBSTITUTE(SUBSTITUTE(LEFT(I30, FIND("/", I30&amp;"/", FIND("/", I30)+1)-1), "마", ""), "감", ""), "(", ""), ")", ""), " ", "")), DATE(2099,12,31)))</f>
        <v>73050</v>
      </c>
      <c r="N30" cm="1">
        <f t="array" ref="N30">IFERROR(IF(ISNUMBER(FIND("~", J30)), (VALUE(LEFT(J30, FIND("~", J30)-1)) + VALUE(SUBSTITUTE(MID(J30, FIND("~", J30)+1, 20), "%", "")))/2, IFERROR(VALUE(LEFT(SUBSTITUTE(J30, " ", ""), _xlfn.AGGREGATE(15, 6, FIND({"%","+","("}, SUBSTITUTE(J30, " ", "")), 1) - 1)), IFERROR(J30*100, 0))), 0)</f>
        <v>50</v>
      </c>
      <c r="O30" cm="1">
        <f t="array" ref="O30">_xlfn.IFS(
    K30="-", 0,
    ISNUMBER(SEARCH("우주상향", K30)), 1,
    ISNUMBER(SEARCH("도전권", K30)), 2,
    ISNUMBER(SEARCH("소신~적정", K30)), 3,
    ISNUMBER(SEARCH("소신권", K30)), 4,
    ISNUMBER(SEARCH("적정~안정", K30)), 5,
    ISNUMBER(SEARCH("적정권", K30)), 6,
    ISNUMBER(SEARCH("안정권", K30)), 7,
    ISNUMBER(SEARCH("지원불가", K30)), 8,
    TRUE, 99
)</f>
        <v>7</v>
      </c>
    </row>
    <row r="31" spans="1:17" ht="28" x14ac:dyDescent="0.45">
      <c r="A31" s="1" t="s">
        <v>83</v>
      </c>
      <c r="B31" s="2">
        <v>169</v>
      </c>
      <c r="C31" s="2">
        <v>104</v>
      </c>
      <c r="D31" s="2">
        <v>56</v>
      </c>
      <c r="E31" s="2">
        <v>125</v>
      </c>
      <c r="F31" s="1">
        <v>132.69999999999999</v>
      </c>
      <c r="G31" s="1">
        <v>113.5</v>
      </c>
      <c r="H31" s="2" t="s">
        <v>62</v>
      </c>
      <c r="I31" s="1" t="s">
        <v>84</v>
      </c>
      <c r="J31" s="4">
        <v>0.55000000000000004</v>
      </c>
      <c r="K31" s="1" t="s">
        <v>85</v>
      </c>
      <c r="L31">
        <f>IFERROR(VALUE(SUBSTITUTE(SUBSTITUTE(SUBSTITUTE(H31, "~", ""), "$", ""), ",", "")), 0)</f>
        <v>40000</v>
      </c>
      <c r="M31">
        <f>IF(OR(I31="-", I31=""), DATE(2099,12,31), IFERROR(DATEVALUE("2026-" &amp; SUBSTITUTE(SUBSTITUTE(SUBSTITUTE(SUBSTITUTE(SUBSTITUTE(LEFT(I31, FIND("/", I31&amp;"/", FIND("/", I31)+1)-1), "마", ""), "감", ""), "(", ""), ")", ""), " ", "")), DATE(2099,12,31)))</f>
        <v>46174</v>
      </c>
      <c r="N31" cm="1">
        <f t="array" ref="N31">IFERROR(IF(ISNUMBER(FIND("~", J31)), (VALUE(LEFT(J31, FIND("~", J31)-1)) + VALUE(SUBSTITUTE(MID(J31, FIND("~", J31)+1, 20), "%", "")))/2, IFERROR(VALUE(LEFT(SUBSTITUTE(J31, " ", ""), _xlfn.AGGREGATE(15, 6, FIND({"%","+","("}, SUBSTITUTE(J31, " ", "")), 1) - 1)), IFERROR(J31*100, 0))), 0)</f>
        <v>55.000000000000007</v>
      </c>
      <c r="O31" cm="1">
        <f t="array" ref="O31">_xlfn.IFS(
    K31="-", 0,
    ISNUMBER(SEARCH("우주상향", K31)), 1,
    ISNUMBER(SEARCH("도전권", K31)), 2,
    ISNUMBER(SEARCH("소신~적정", K31)), 3,
    ISNUMBER(SEARCH("소신권", K31)), 4,
    ISNUMBER(SEARCH("적정~안정", K31)), 5,
    ISNUMBER(SEARCH("적정권", K31)), 6,
    ISNUMBER(SEARCH("안정권", K31)), 7,
    ISNUMBER(SEARCH("지원불가", K31)), 8,
    TRUE, 99
)</f>
        <v>6</v>
      </c>
    </row>
    <row r="32" spans="1:17" ht="28" x14ac:dyDescent="0.45">
      <c r="A32" s="1" t="s">
        <v>86</v>
      </c>
      <c r="B32" s="2">
        <v>208</v>
      </c>
      <c r="C32" s="2">
        <v>106</v>
      </c>
      <c r="D32" s="2">
        <v>55</v>
      </c>
      <c r="E32" s="2">
        <v>125</v>
      </c>
      <c r="F32" s="1">
        <v>146.30000000000001</v>
      </c>
      <c r="G32" s="1">
        <v>123.5</v>
      </c>
      <c r="H32" s="2" t="s">
        <v>48</v>
      </c>
      <c r="I32" s="1" t="s">
        <v>87</v>
      </c>
      <c r="J32" s="2" t="s">
        <v>88</v>
      </c>
      <c r="K32" s="1" t="s">
        <v>89</v>
      </c>
      <c r="L32">
        <f>IFERROR(VALUE(SUBSTITUTE(SUBSTITUTE(SUBSTITUTE(H32, "~", ""), "$", ""), ",", "")), 0)</f>
        <v>41000</v>
      </c>
      <c r="M32">
        <f>IF(OR(I32="-", I32=""), DATE(2099,12,31), IFERROR(DATEVALUE("2026-" &amp; SUBSTITUTE(SUBSTITUTE(SUBSTITUTE(SUBSTITUTE(SUBSTITUTE(LEFT(I32, FIND("/", I32&amp;"/", FIND("/", I32)+1)-1), "마", ""), "감", ""), "(", ""), ")", ""), " ", "")), DATE(2099,12,31)))</f>
        <v>46157</v>
      </c>
      <c r="N32" cm="1">
        <f t="array" ref="N32">IFERROR(IF(ISNUMBER(FIND("~", J32)), (VALUE(LEFT(J32, FIND("~", J32)-1)) + VALUE(SUBSTITUTE(MID(J32, FIND("~", J32)+1, 20), "%", "")))/2, IFERROR(VALUE(LEFT(SUBSTITUTE(J32, " ", ""), _xlfn.AGGREGATE(15, 6, FIND({"%","+","("}, SUBSTITUTE(J32, " ", "")), 1) - 1)), IFERROR(J32*100, 0))), 0)</f>
        <v>60</v>
      </c>
      <c r="O32" cm="1">
        <f t="array" ref="O32">_xlfn.IFS(
    K32="-", 0,
    ISNUMBER(SEARCH("우주상향", K32)), 1,
    ISNUMBER(SEARCH("도전권", K32)), 2,
    ISNUMBER(SEARCH("소신~적정", K32)), 3,
    ISNUMBER(SEARCH("소신권", K32)), 4,
    ISNUMBER(SEARCH("적정~안정", K32)), 5,
    ISNUMBER(SEARCH("적정권", K32)), 6,
    ISNUMBER(SEARCH("안정권", K32)), 7,
    ISNUMBER(SEARCH("지원불가", K32)), 8,
    TRUE, 99
)</f>
        <v>6</v>
      </c>
    </row>
    <row r="33" spans="1:15" x14ac:dyDescent="0.45">
      <c r="A33" s="1" t="s">
        <v>90</v>
      </c>
      <c r="B33" s="2">
        <v>250</v>
      </c>
      <c r="C33" s="2">
        <v>160</v>
      </c>
      <c r="D33" s="2">
        <v>40</v>
      </c>
      <c r="E33" s="2">
        <v>125</v>
      </c>
      <c r="F33" s="1">
        <v>178.3</v>
      </c>
      <c r="G33" s="1">
        <v>143.80000000000001</v>
      </c>
      <c r="H33" s="2" t="s">
        <v>91</v>
      </c>
      <c r="I33" s="1" t="s">
        <v>76</v>
      </c>
      <c r="J33" s="2" t="s">
        <v>88</v>
      </c>
      <c r="K33" s="5" t="s">
        <v>93</v>
      </c>
      <c r="L33">
        <f>IFERROR(VALUE(SUBSTITUTE(SUBSTITUTE(SUBSTITUTE(H33, "~", ""), "$", ""), ",", "")), 0)</f>
        <v>36000</v>
      </c>
      <c r="M33">
        <f>IF(OR(I33="-", I33=""), DATE(2099,12,31), IFERROR(DATEVALUE("2026-" &amp; SUBSTITUTE(SUBSTITUTE(SUBSTITUTE(SUBSTITUTE(SUBSTITUTE(LEFT(I33, FIND("/", I33&amp;"/", FIND("/", I33)+1)-1), "마", ""), "감", ""), "(", ""), ")", ""), " ", "")), DATE(2099,12,31)))</f>
        <v>73050</v>
      </c>
      <c r="N33" cm="1">
        <f t="array" ref="N33">IFERROR(IF(ISNUMBER(FIND("~", J33)), (VALUE(LEFT(J33, FIND("~", J33)-1)) + VALUE(SUBSTITUTE(MID(J33, FIND("~", J33)+1, 20), "%", "")))/2, IFERROR(VALUE(LEFT(SUBSTITUTE(J33, " ", ""), _xlfn.AGGREGATE(15, 6, FIND({"%","+","("}, SUBSTITUTE(J33, " ", "")), 1) - 1)), IFERROR(J33*100, 0))), 0)</f>
        <v>60</v>
      </c>
      <c r="O33" cm="1">
        <f t="array" ref="O33">_xlfn.IFS(
    K33="-", 0,
    ISNUMBER(SEARCH("우주상향", K33)), 1,
    ISNUMBER(SEARCH("도전권", K33)), 2,
    ISNUMBER(SEARCH("소신~적정", K33)), 3,
    ISNUMBER(SEARCH("소신권", K33)), 4,
    ISNUMBER(SEARCH("적정~안정", K33)), 5,
    ISNUMBER(SEARCH("적정권", K33)), 6,
    ISNUMBER(SEARCH("안정권", K33)), 7,
    ISNUMBER(SEARCH("지원불가", K33)), 8,
    TRUE, 99
)</f>
        <v>7</v>
      </c>
    </row>
    <row r="34" spans="1:15" ht="28" x14ac:dyDescent="0.45">
      <c r="A34" s="1" t="s">
        <v>92</v>
      </c>
      <c r="B34" s="2">
        <v>275</v>
      </c>
      <c r="C34" s="2">
        <v>160</v>
      </c>
      <c r="D34" s="2">
        <v>187</v>
      </c>
      <c r="E34" s="2">
        <v>175</v>
      </c>
      <c r="F34" s="1">
        <v>203.3</v>
      </c>
      <c r="G34" s="1">
        <v>199.3</v>
      </c>
      <c r="H34" s="2" t="s">
        <v>65</v>
      </c>
      <c r="I34" s="1" t="s">
        <v>73</v>
      </c>
      <c r="J34" s="2" t="s">
        <v>88</v>
      </c>
      <c r="K34" s="5" t="s">
        <v>93</v>
      </c>
      <c r="L34">
        <f>IFERROR(VALUE(SUBSTITUTE(SUBSTITUTE(SUBSTITUTE(H34, "~", ""), "$", ""), ",", "")), 0)</f>
        <v>39000</v>
      </c>
      <c r="M34">
        <f>IF(OR(I34="-", I34=""), DATE(2099,12,31), IFERROR(DATEVALUE("2026-" &amp; SUBSTITUTE(SUBSTITUTE(SUBSTITUTE(SUBSTITUTE(SUBSTITUTE(LEFT(I34, FIND("/", I34&amp;"/", FIND("/", I34)+1)-1), "마", ""), "감", ""), "(", ""), ")", ""), " ", "")), DATE(2099,12,31)))</f>
        <v>46127</v>
      </c>
      <c r="N34" cm="1">
        <f t="array" ref="N34">IFERROR(IF(ISNUMBER(FIND("~", J34)), (VALUE(LEFT(J34, FIND("~", J34)-1)) + VALUE(SUBSTITUTE(MID(J34, FIND("~", J34)+1, 20), "%", "")))/2, IFERROR(VALUE(LEFT(SUBSTITUTE(J34, " ", ""), _xlfn.AGGREGATE(15, 6, FIND({"%","+","("}, SUBSTITUTE(J34, " ", "")), 1) - 1)), IFERROR(J34*100, 0))), 0)</f>
        <v>60</v>
      </c>
      <c r="O34" cm="1">
        <f t="array" ref="O34">_xlfn.IFS(
    K34="-", 0,
    ISNUMBER(SEARCH("우주상향", K34)), 1,
    ISNUMBER(SEARCH("도전권", K34)), 2,
    ISNUMBER(SEARCH("소신~적정", K34)), 3,
    ISNUMBER(SEARCH("소신권", K34)), 4,
    ISNUMBER(SEARCH("적정~안정", K34)), 5,
    ISNUMBER(SEARCH("적정권", K34)), 6,
    ISNUMBER(SEARCH("안정권", K34)), 7,
    ISNUMBER(SEARCH("지원불가", K34)), 8,
    TRUE, 99
)</f>
        <v>7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김주영</dc:creator>
  <cp:lastModifiedBy>Hammer</cp:lastModifiedBy>
  <dcterms:created xsi:type="dcterms:W3CDTF">2026-03-25T17:18:05Z</dcterms:created>
  <dcterms:modified xsi:type="dcterms:W3CDTF">2026-03-26T14:03:47Z</dcterms:modified>
</cp:coreProperties>
</file>